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0" autoFilterDateGrouping="1"/>
  </bookViews>
  <sheets>
    <sheet xmlns:r="http://schemas.openxmlformats.org/officeDocument/2006/relationships" name="📋 Tracker" sheetId="1" state="visible" r:id="rId1"/>
    <sheet xmlns:r="http://schemas.openxmlformats.org/officeDocument/2006/relationships" name="📊 Summary" sheetId="2" state="visible" r:id="rId2"/>
    <sheet xmlns:r="http://schemas.openxmlformats.org/officeDocument/2006/relationships" name="📬 Prof Contacts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\%"/>
    <numFmt numFmtId="165" formatCode="m/d/yyyy"/>
  </numFmts>
  <fonts count="30">
    <font>
      <name val="Calibri"/>
      <charset val="1"/>
      <family val="2"/>
      <color theme="1"/>
      <sz val="11"/>
    </font>
    <font>
      <name val="Calibri"/>
      <family val="2"/>
      <color rgb="FF2D3748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2D3748"/>
      <sz val="10"/>
    </font>
    <font>
      <name val="Calibri"/>
      <family val="2"/>
      <b val="1"/>
      <color rgb="FFFFFFFF"/>
      <sz val="18"/>
    </font>
    <font>
      <name val="Calibri"/>
      <family val="2"/>
      <b val="1"/>
      <color rgb="FF1B2B4B"/>
      <sz val="22"/>
    </font>
    <font>
      <name val="Calibri"/>
      <family val="2"/>
      <b val="1"/>
      <color rgb="FF0D7377"/>
      <sz val="22"/>
    </font>
    <font>
      <name val="Calibri"/>
      <family val="2"/>
      <b val="1"/>
      <color rgb="FF27AE60"/>
      <sz val="22"/>
    </font>
    <font>
      <name val="Calibri"/>
      <family val="2"/>
      <b val="1"/>
      <color rgb="FFF39C12"/>
      <sz val="22"/>
    </font>
    <font>
      <name val="Calibri"/>
      <family val="2"/>
      <b val="1"/>
      <color rgb="FF4A5568"/>
      <sz val="22"/>
    </font>
    <font>
      <name val="Calibri"/>
      <family val="2"/>
      <i val="1"/>
      <color rgb="FF4A5568"/>
      <sz val="9"/>
    </font>
    <font>
      <name val="Calibri"/>
      <family val="2"/>
      <b val="1"/>
      <color rgb="FFFFFFFF"/>
      <sz val="14"/>
    </font>
    <font>
      <name val="Calibri"/>
      <charset val="1"/>
      <family val="2"/>
      <color theme="10"/>
      <sz val="11"/>
      <u val="single"/>
    </font>
    <font>
      <name val="Calibri"/>
      <family val="2"/>
      <color theme="1"/>
      <sz val="10"/>
    </font>
    <font>
      <name val="Bahnschrift SemiLight Condensed"/>
      <family val="2"/>
      <b val="1"/>
      <color rgb="FFFFFFFF"/>
      <sz val="16"/>
    </font>
    <font>
      <name val="Bahnschrift SemiLight Condensed"/>
      <family val="2"/>
      <color theme="1"/>
      <sz val="11"/>
    </font>
    <font>
      <name val="Bahnschrift SemiLight Condensed"/>
      <family val="2"/>
      <i val="1"/>
      <color rgb="FF94A3B8"/>
      <sz val="10"/>
    </font>
    <font>
      <name val="Bahnschrift SemiLight Condensed"/>
      <family val="2"/>
      <b val="1"/>
      <color rgb="FFFFFFFF"/>
      <sz val="10"/>
    </font>
    <font>
      <name val="Bahnschrift SemiLight Condensed"/>
      <family val="2"/>
      <color rgb="FF2D3748"/>
      <sz val="10"/>
    </font>
    <font>
      <name val="Bahnschrift SemiLight Condensed"/>
      <family val="2"/>
      <color theme="2" tint="-0.8999908444471572"/>
      <sz val="10"/>
    </font>
    <font>
      <name val="Bahnschrift SemiLight Condensed"/>
      <family val="2"/>
      <b val="1"/>
      <color rgb="FF2D3748"/>
      <sz val="10"/>
    </font>
    <font>
      <name val="Bahnschrift SemiLight Condensed"/>
      <family val="2"/>
      <color rgb="FF856404"/>
      <sz val="10"/>
    </font>
    <font>
      <name val="Bahnschrift SemiLight Condensed"/>
      <family val="2"/>
      <color theme="2" tint="-0.8999908444471572"/>
      <sz val="11"/>
      <u val="single"/>
    </font>
    <font>
      <name val="Bahnschrift SemiLight Condensed"/>
      <family val="2"/>
      <color theme="1"/>
      <sz val="10"/>
    </font>
    <font>
      <name val="Bahnschrift SemiLight Condensed"/>
      <family val="2"/>
      <color theme="10"/>
      <sz val="10"/>
      <u val="single"/>
    </font>
    <font>
      <name val="Bahnschrift SemiLight Condensed"/>
      <family val="2"/>
      <color theme="10"/>
      <sz val="11"/>
      <u val="single"/>
    </font>
    <font>
      <name val="Bahnschrift SemiLight Condensed"/>
      <family val="2"/>
      <color theme="2" tint="-0.8999908444471572"/>
      <sz val="11"/>
    </font>
    <font>
      <name val="Bahnschrift SemiLight Condensed"/>
      <family val="2"/>
      <b val="1"/>
      <color theme="1"/>
      <sz val="11"/>
    </font>
    <font>
      <name val="Bahnschrift SemiLight Condensed"/>
      <charset val="1"/>
      <family val="2"/>
      <color theme="1"/>
      <sz val="11"/>
    </font>
    <font>
      <name val="Bahnschrift SemiLight Condensed"/>
      <charset val="1"/>
      <family val="2"/>
      <color rgb="FF000000"/>
      <sz val="11"/>
    </font>
  </fonts>
  <fills count="29">
    <fill>
      <patternFill/>
    </fill>
    <fill>
      <patternFill patternType="gray125"/>
    </fill>
    <fill>
      <patternFill patternType="solid">
        <fgColor rgb="FF1B2B4B"/>
        <bgColor rgb="FF2D3748"/>
      </patternFill>
    </fill>
    <fill>
      <patternFill patternType="solid">
        <fgColor rgb="FF0D7377"/>
        <bgColor rgb="FF008080"/>
      </patternFill>
    </fill>
    <fill>
      <patternFill patternType="solid">
        <fgColor rgb="FFE8F6F7"/>
        <bgColor rgb="FFEDF2F7"/>
      </patternFill>
    </fill>
    <fill>
      <patternFill patternType="solid">
        <fgColor rgb="FFFFF3CD"/>
        <bgColor rgb="FFFFF8E1"/>
      </patternFill>
    </fill>
    <fill>
      <patternFill patternType="solid">
        <fgColor rgb="FFFFFFFF"/>
        <bgColor rgb="FFFFF8E1"/>
      </patternFill>
    </fill>
    <fill>
      <patternFill patternType="solid">
        <fgColor rgb="FFF39C12"/>
        <bgColor rgb="FFFFCC00"/>
      </patternFill>
    </fill>
    <fill>
      <patternFill patternType="solid">
        <fgColor rgb="FF27AE60"/>
        <bgColor rgb="FF008080"/>
      </patternFill>
    </fill>
    <fill>
      <patternFill patternType="solid">
        <fgColor rgb="FF4A5568"/>
        <bgColor rgb="FF2D3748"/>
      </patternFill>
    </fill>
    <fill>
      <patternFill patternType="solid">
        <fgColor rgb="FFF0F4F8"/>
        <bgColor rgb="FFEDF2F7"/>
      </patternFill>
    </fill>
    <fill>
      <patternFill patternType="solid">
        <fgColor rgb="FFEDF2F7"/>
        <bgColor rgb="FFF0F4F8"/>
      </patternFill>
    </fill>
    <fill>
      <patternFill patternType="solid">
        <fgColor rgb="FFFFF8E1"/>
        <bgColor rgb="FFFFF3CD"/>
      </patternFill>
    </fill>
    <fill>
      <patternFill patternType="solid">
        <fgColor theme="1"/>
        <bgColor rgb="FFEDF2F7"/>
      </patternFill>
    </fill>
    <fill>
      <patternFill patternType="solid">
        <fgColor theme="1"/>
        <bgColor rgb="FFFFF8E1"/>
      </patternFill>
    </fill>
    <fill>
      <patternFill patternType="solid">
        <fgColor theme="2" tint="-0.499984740745262"/>
        <bgColor rgb="FFEDF2F7"/>
      </patternFill>
    </fill>
    <fill>
      <patternFill patternType="solid">
        <fgColor theme="2" tint="-0.499984740745262"/>
        <bgColor rgb="FFFFF8E1"/>
      </patternFill>
    </fill>
    <fill>
      <patternFill patternType="solid">
        <fgColor theme="2" tint="-0.249977111117893"/>
        <bgColor rgb="FFEDF2F7"/>
      </patternFill>
    </fill>
    <fill>
      <patternFill patternType="solid">
        <fgColor theme="0" tint="-0.0499893185216834"/>
        <bgColor rgb="FFEDF2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8E1"/>
      </patternFill>
    </fill>
    <fill>
      <patternFill patternType="solid">
        <fgColor theme="0"/>
        <bgColor rgb="FFEDF2F7"/>
      </patternFill>
    </fill>
    <fill>
      <patternFill patternType="solid">
        <fgColor rgb="FFFF747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3999755851924192"/>
        <bgColor rgb="FFFFF8E1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rgb="FFEDF2F7"/>
      </patternFill>
    </fill>
    <fill>
      <patternFill patternType="solid">
        <fgColor rgb="FF524EAB"/>
        <bgColor rgb="FFEDF2F7"/>
      </patternFill>
    </fill>
  </fills>
  <borders count="1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</borders>
  <cellStyleXfs count="2">
    <xf numFmtId="0" fontId="0" fillId="0" borderId="0"/>
    <xf numFmtId="0" fontId="12" fillId="0" borderId="0"/>
  </cellStyleXfs>
  <cellXfs count="9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center" vertical="center" wrapText="1"/>
    </xf>
    <xf numFmtId="164" fontId="1" fillId="6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1" fillId="6" borderId="2" applyAlignment="1" pivotButton="0" quotePrefix="0" xfId="0">
      <alignment horizontal="center" vertical="center" wrapText="1"/>
    </xf>
    <xf numFmtId="49" fontId="0" fillId="0" borderId="0" pivotButton="0" quotePrefix="0" xfId="0"/>
    <xf numFmtId="0" fontId="13" fillId="13" borderId="2" applyAlignment="1" pivotButton="0" quotePrefix="0" xfId="0">
      <alignment horizontal="center" vertical="center" wrapText="1"/>
    </xf>
    <xf numFmtId="0" fontId="13" fillId="13" borderId="2" applyAlignment="1" pivotButton="0" quotePrefix="0" xfId="0">
      <alignment horizontal="left" vertical="center" wrapText="1"/>
    </xf>
    <xf numFmtId="0" fontId="13" fillId="14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horizontal="left" vertical="center" wrapText="1"/>
    </xf>
    <xf numFmtId="0" fontId="1" fillId="16" borderId="2" applyAlignment="1" pivotButton="0" quotePrefix="0" xfId="0">
      <alignment horizontal="center" vertical="center" wrapText="1"/>
    </xf>
    <xf numFmtId="0" fontId="1" fillId="17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 vertical="top" wrapText="1"/>
    </xf>
    <xf numFmtId="0" fontId="1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1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9" fillId="1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" fillId="27" borderId="2" applyAlignment="1" pivotButton="0" quotePrefix="0" xfId="0">
      <alignment horizontal="left" vertical="center" wrapText="1"/>
    </xf>
    <xf numFmtId="0" fontId="1" fillId="28" borderId="2" applyAlignment="1" pivotButton="0" quotePrefix="0" xfId="0">
      <alignment horizontal="left" vertical="center" wrapText="1"/>
    </xf>
    <xf numFmtId="0" fontId="14" fillId="2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49" fontId="15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 wrapText="1"/>
    </xf>
    <xf numFmtId="0" fontId="17" fillId="3" borderId="2" applyAlignment="1" pivotButton="0" quotePrefix="0" xfId="0">
      <alignment horizontal="center" vertical="center" wrapText="1"/>
    </xf>
    <xf numFmtId="49" fontId="17" fillId="3" borderId="2" applyAlignment="1" pivotButton="0" quotePrefix="0" xfId="0">
      <alignment horizontal="center" vertical="center" wrapText="1"/>
    </xf>
    <xf numFmtId="0" fontId="18" fillId="21" borderId="2" applyAlignment="1" pivotButton="0" quotePrefix="0" xfId="0">
      <alignment horizontal="center" vertical="center" wrapText="1"/>
    </xf>
    <xf numFmtId="0" fontId="19" fillId="21" borderId="2" applyAlignment="1" pivotButton="0" quotePrefix="0" xfId="0">
      <alignment horizontal="center" vertical="center" wrapText="1"/>
    </xf>
    <xf numFmtId="49" fontId="18" fillId="21" borderId="2" applyAlignment="1" pivotButton="0" quotePrefix="0" xfId="0">
      <alignment horizontal="center" vertical="center" wrapText="1"/>
    </xf>
    <xf numFmtId="0" fontId="20" fillId="18" borderId="2" applyAlignment="1" pivotButton="0" quotePrefix="0" xfId="0">
      <alignment horizontal="center" vertical="center" wrapText="1"/>
    </xf>
    <xf numFmtId="0" fontId="21" fillId="5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horizontal="center" vertical="center" wrapText="1"/>
    </xf>
    <xf numFmtId="0" fontId="18" fillId="20" borderId="2" applyAlignment="1" pivotButton="0" quotePrefix="0" xfId="0">
      <alignment horizontal="center" vertical="center" wrapText="1"/>
    </xf>
    <xf numFmtId="0" fontId="19" fillId="20" borderId="2" applyAlignment="1" pivotButton="0" quotePrefix="0" xfId="0">
      <alignment horizontal="center" vertical="center" wrapText="1"/>
    </xf>
    <xf numFmtId="49" fontId="18" fillId="20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22" fillId="20" borderId="2" applyAlignment="1" pivotButton="0" quotePrefix="0" xfId="1">
      <alignment horizontal="center" vertical="center" wrapText="1"/>
    </xf>
    <xf numFmtId="0" fontId="23" fillId="19" borderId="2" applyAlignment="1" pivotButton="0" quotePrefix="0" xfId="0">
      <alignment horizontal="center" vertical="center" wrapText="1"/>
    </xf>
    <xf numFmtId="0" fontId="19" fillId="23" borderId="2" applyAlignment="1" pivotButton="0" quotePrefix="0" xfId="0">
      <alignment horizontal="center" vertical="center" wrapText="1"/>
    </xf>
    <xf numFmtId="14" fontId="23" fillId="19" borderId="2" applyAlignment="1" pivotButton="0" quotePrefix="0" xfId="0">
      <alignment horizontal="center" vertical="center" wrapText="1"/>
    </xf>
    <xf numFmtId="49" fontId="23" fillId="19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 wrapText="1"/>
    </xf>
    <xf numFmtId="0" fontId="24" fillId="6" borderId="2" applyAlignment="1" pivotButton="0" quotePrefix="0" xfId="1">
      <alignment horizontal="center" vertical="center" wrapText="1"/>
    </xf>
    <xf numFmtId="0" fontId="22" fillId="19" borderId="2" applyAlignment="1" pivotButton="0" quotePrefix="0" xfId="1">
      <alignment horizontal="center" vertical="center" wrapText="1"/>
    </xf>
    <xf numFmtId="0" fontId="25" fillId="0" borderId="2" applyAlignment="1" pivotButton="0" quotePrefix="0" xfId="1">
      <alignment horizontal="center" vertical="center" wrapText="1"/>
    </xf>
    <xf numFmtId="0" fontId="15" fillId="19" borderId="2" applyAlignment="1" pivotButton="0" quotePrefix="0" xfId="0">
      <alignment horizontal="center" vertical="center" wrapText="1"/>
    </xf>
    <xf numFmtId="0" fontId="19" fillId="19" borderId="2" applyAlignment="1" pivotButton="0" quotePrefix="0" xfId="0">
      <alignment horizontal="center" vertical="center" wrapText="1"/>
    </xf>
    <xf numFmtId="14" fontId="15" fillId="19" borderId="2" applyAlignment="1" pivotButton="0" quotePrefix="0" xfId="0">
      <alignment horizontal="center" vertical="center" wrapText="1"/>
    </xf>
    <xf numFmtId="0" fontId="26" fillId="19" borderId="2" applyAlignment="1" pivotButton="0" quotePrefix="0" xfId="0">
      <alignment horizontal="center" vertical="center" wrapText="1"/>
    </xf>
    <xf numFmtId="49" fontId="15" fillId="19" borderId="2" applyAlignment="1" pivotButton="0" quotePrefix="0" xfId="0">
      <alignment horizontal="center" vertical="center" wrapText="1"/>
    </xf>
    <xf numFmtId="14" fontId="15" fillId="22" borderId="2" applyAlignment="1" pivotButton="0" quotePrefix="0" xfId="0">
      <alignment horizontal="center" vertical="center" wrapText="1"/>
    </xf>
    <xf numFmtId="0" fontId="12" fillId="19" borderId="2" applyAlignment="1" pivotButton="0" quotePrefix="0" xfId="1">
      <alignment horizontal="center" vertical="center" wrapText="1"/>
    </xf>
    <xf numFmtId="0" fontId="12" fillId="0" borderId="2" applyAlignment="1" pivotButton="0" quotePrefix="0" xfId="1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28" fillId="20" borderId="2" applyAlignment="1" pivotButton="0" quotePrefix="0" xfId="0">
      <alignment horizontal="center" vertical="center" wrapText="1"/>
    </xf>
    <xf numFmtId="0" fontId="12" fillId="20" borderId="2" applyAlignment="1" pivotButton="0" quotePrefix="0" xfId="0">
      <alignment horizontal="center" vertical="center" wrapText="1"/>
    </xf>
    <xf numFmtId="165" fontId="28" fillId="20" borderId="2" applyAlignment="1" pivotButton="0" quotePrefix="0" xfId="0">
      <alignment horizontal="center" vertical="center" wrapText="1"/>
    </xf>
    <xf numFmtId="49" fontId="28" fillId="2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wrapText="1"/>
    </xf>
    <xf numFmtId="9" fontId="15" fillId="0" borderId="2" applyAlignment="1" pivotButton="0" quotePrefix="0" xfId="0">
      <alignment horizontal="center" vertical="center" wrapText="1"/>
    </xf>
    <xf numFmtId="0" fontId="29" fillId="24" borderId="2" applyAlignment="1" pivotButton="0" quotePrefix="0" xfId="0">
      <alignment horizontal="center" vertical="center" wrapText="1"/>
    </xf>
    <xf numFmtId="49" fontId="29" fillId="24" borderId="2" applyAlignment="1" pivotButton="0" quotePrefix="0" xfId="0">
      <alignment horizontal="center" vertical="center" wrapText="1"/>
    </xf>
    <xf numFmtId="0" fontId="21" fillId="24" borderId="2" applyAlignment="1" pivotButton="0" quotePrefix="0" xfId="0">
      <alignment horizontal="center" vertical="center" wrapText="1"/>
    </xf>
    <xf numFmtId="0" fontId="29" fillId="25" borderId="2" applyAlignment="1" pivotButton="0" quotePrefix="0" xfId="0">
      <alignment horizontal="center" vertical="center" wrapText="1"/>
    </xf>
    <xf numFmtId="0" fontId="29" fillId="20" borderId="2" applyAlignment="1" pivotButton="0" quotePrefix="0" xfId="0">
      <alignment horizontal="center" vertical="center" wrapText="1"/>
    </xf>
    <xf numFmtId="49" fontId="29" fillId="20" borderId="2" applyAlignment="1" pivotButton="0" quotePrefix="0" xfId="0">
      <alignment horizontal="center" vertical="center" wrapText="1"/>
    </xf>
    <xf numFmtId="0" fontId="21" fillId="20" borderId="2" applyAlignment="1" pivotButton="0" quotePrefix="0" xfId="0">
      <alignment horizontal="center" vertical="center" wrapText="1"/>
    </xf>
    <xf numFmtId="0" fontId="29" fillId="26" borderId="2" applyAlignment="1" pivotButton="0" quotePrefix="0" xfId="0">
      <alignment horizontal="center" vertical="center" wrapText="1"/>
    </xf>
    <xf numFmtId="0" fontId="15" fillId="25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49" fontId="15" fillId="0" borderId="2" applyAlignment="1" pivotButton="0" quotePrefix="0" xfId="0">
      <alignment horizontal="center" vertical="center" wrapText="1"/>
    </xf>
    <xf numFmtId="0" fontId="15" fillId="2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22" borderId="2" applyAlignment="1" pivotButton="0" quotePrefix="0" xfId="0">
      <alignment horizontal="center" vertical="center" wrapText="1"/>
    </xf>
    <xf numFmtId="0" fontId="12" fillId="23" borderId="2" applyAlignment="1" pivotButton="0" quotePrefix="0" xfId="1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</cellXfs>
  <cellStyles count="2">
    <cellStyle name="Normal" xfId="0" builtinId="0"/>
    <cellStyle name="Hyperlink" xfId="1" builtinId="8"/>
  </cellStyles>
  <dxfs count="41">
    <dxf>
      <font>
        <name val="Bahnschrift SemiLight Condensed"/>
        <family val="2"/>
        <strike val="0"/>
        <outline val="0"/>
        <shadow val="0"/>
        <vertAlign val="baseline"/>
      </font>
      <alignment horizontal="center" vertical="center" wrapText="1"/>
    </dxf>
    <dxf>
      <font>
        <name val="Bahnschrift SemiLight Condensed"/>
        <family val="2"/>
        <strike val="0"/>
        <outline val="0"/>
        <shadow val="0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Bahnschrift SemiLight Condensed"/>
        <family val="2"/>
        <strike val="0"/>
        <outline val="0"/>
        <shadow val="0"/>
        <condense val="0"/>
        <color rgb="FF856404"/>
        <extend val="0"/>
        <sz val="10"/>
        <vertAlign val="baseline"/>
      </font>
      <fill>
        <patternFill patternType="solid">
          <fgColor rgb="FFFFF8E1"/>
          <bgColor rgb="FFFFF3CD"/>
        </patternFill>
      </fill>
      <alignment horizontal="center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Bahnschrift SemiLight Condensed"/>
        <family val="2"/>
        <b val="1"/>
        <strike val="0"/>
        <outline val="0"/>
        <shadow val="0"/>
        <condense val="0"/>
        <color rgb="FF2D3748"/>
        <extend val="0"/>
        <sz val="10"/>
        <vertAlign val="baseline"/>
      </font>
      <fill>
        <patternFill patternType="solid">
          <fgColor rgb="FFEDF2F7"/>
          <bgColor theme="0" tint="-0.049989318521683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vertAlign val="baseline"/>
      </font>
      <numFmt numFmtId="30" formatCode="@"/>
      <fill>
        <patternFill patternType="solid"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vertAlign val="baseline"/>
      </font>
      <numFmt numFmtId="30" formatCode="@"/>
      <fill>
        <patternFill patternType="solid"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vertAlign val="baseline"/>
      </font>
      <fill>
        <patternFill patternType="solid"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vertAlign val="baseline"/>
      </font>
      <fill>
        <patternFill patternType="solid"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vertAlign val="baseline"/>
      </font>
      <numFmt numFmtId="19" formatCode="dd/mm/yyyy"/>
      <fill>
        <patternFill patternType="solid"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vertAlign val="baseline"/>
      </font>
      <fill>
        <patternFill patternType="solid"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vertAlign val="baseline"/>
      </font>
      <fill>
        <patternFill patternType="solid"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condense val="0"/>
        <color theme="2" tint="-0.8999908444471572"/>
        <extend val="0"/>
        <sz val="11"/>
        <vertAlign val="baseline"/>
      </font>
      <fill>
        <patternFill patternType="solid"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vertAlign val="baseline"/>
      </font>
      <fill>
        <patternFill patternType="solid"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vertAlign val="baseline"/>
      </font>
      <fill>
        <patternFill patternType="solid"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 tint="0.3999450666829432"/>
        </patternFill>
      </fill>
    </dxf>
    <dxf>
      <fill>
        <patternFill>
          <bgColor theme="5" tint="-0.249946592608417"/>
        </patternFill>
      </fill>
    </dxf>
    <dxf>
      <fill>
        <patternFill>
          <bgColor rgb="FF92D050"/>
        </patternFill>
      </fill>
    </dxf>
    <dxf>
      <fill>
        <patternFill>
          <bgColor theme="4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ill>
        <patternFill>
          <bgColor theme="4" tint="0.3998840296639912"/>
        </patternFill>
      </fill>
    </dxf>
    <dxf>
      <font>
        <name val="Bahnschrift SemiLight Condensed"/>
        <family val="2"/>
        <strike val="0"/>
        <outline val="0"/>
        <shadow val="0"/>
        <condense val="0"/>
        <color rgb="FF856404"/>
        <extend val="0"/>
        <sz val="10"/>
        <vertAlign val="baseline"/>
      </font>
      <fill>
        <patternFill patternType="solid">
          <fgColor rgb="FFFFF8E1"/>
          <bgColor rgb="FFFFF3CD"/>
        </patternFill>
      </fill>
      <alignment horizontal="center" vertical="top" wrapText="1"/>
      <border outline="0">
        <left style="thin">
          <color indexed="64"/>
        </left>
        <right/>
        <top/>
        <bottom style="thin">
          <color indexed="64"/>
        </bottom>
      </border>
    </dxf>
    <dxf>
      <font>
        <name val="Bahnschrift SemiLight Condensed"/>
        <family val="2"/>
        <b val="1"/>
        <strike val="0"/>
        <outline val="0"/>
        <shadow val="0"/>
        <condense val="0"/>
        <color rgb="FF2D3748"/>
        <extend val="0"/>
        <sz val="10"/>
        <vertAlign val="baseline"/>
      </font>
      <fill>
        <patternFill patternType="solid">
          <fgColor rgb="FFEDF2F7"/>
          <bgColor theme="0" tint="-0.0499893185216834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condense val="0"/>
        <color rgb="FF2D3748"/>
        <extend val="0"/>
        <sz val="10"/>
        <vertAlign val="baseline"/>
      </font>
      <numFmt numFmtId="30" formatCode="@"/>
      <fill>
        <patternFill patternType="solid">
          <fgColor rgb="FFEDF2F7"/>
          <bgColor rgb="FFE8F6F7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condense val="0"/>
        <color rgb="FF2D3748"/>
        <extend val="0"/>
        <sz val="10"/>
        <vertAlign val="baseline"/>
      </font>
      <fill>
        <patternFill patternType="solid">
          <fgColor rgb="FFEDF2F7"/>
          <bgColor rgb="FFE8F6F7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condense val="0"/>
        <color rgb="FF2D3748"/>
        <extend val="0"/>
        <sz val="10"/>
        <vertAlign val="baseline"/>
      </font>
      <fill>
        <patternFill patternType="solid">
          <fgColor rgb="FFEDF2F7"/>
          <bgColor rgb="FFE8F6F7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condense val="0"/>
        <color rgb="FF2D3748"/>
        <extend val="0"/>
        <sz val="10"/>
        <vertAlign val="baseline"/>
      </font>
      <fill>
        <patternFill patternType="solid">
          <fgColor rgb="FFEDF2F7"/>
          <bgColor rgb="FFE8F6F7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condense val="0"/>
        <color rgb="FF2D3748"/>
        <extend val="0"/>
        <sz val="10"/>
        <vertAlign val="baseline"/>
      </font>
      <fill>
        <patternFill patternType="solid">
          <fgColor rgb="FFEDF2F7"/>
          <bgColor rgb="FFE8F6F7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condense val="0"/>
        <color rgb="FF2D3748"/>
        <extend val="0"/>
        <sz val="10"/>
        <vertAlign val="baseline"/>
      </font>
      <fill>
        <patternFill patternType="solid">
          <fgColor rgb="FFEDF2F7"/>
          <bgColor rgb="FFE8F6F7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condense val="0"/>
        <color rgb="FF2D3748"/>
        <extend val="0"/>
        <sz val="10"/>
        <vertAlign val="baseline"/>
      </font>
      <fill>
        <patternFill patternType="solid">
          <fgColor rgb="FFEDF2F7"/>
          <bgColor rgb="FFE8F6F7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condense val="0"/>
        <color theme="2" tint="-0.8999908444471572"/>
        <extend val="0"/>
        <sz val="10"/>
        <vertAlign val="baseline"/>
      </font>
      <fill>
        <patternFill patternType="solid">
          <fgColor rgb="FFEDF2F7"/>
          <bgColor rgb="FFE8F6F7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condense val="0"/>
        <color rgb="FF2D3748"/>
        <extend val="0"/>
        <sz val="10"/>
        <vertAlign val="baseline"/>
      </font>
      <fill>
        <patternFill patternType="solid">
          <fgColor rgb="FFEDF2F7"/>
          <bgColor rgb="FFE8F6F7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Bahnschrift SemiLight Condensed"/>
        <family val="2"/>
        <strike val="0"/>
        <outline val="0"/>
        <shadow val="0"/>
        <condense val="0"/>
        <color rgb="FF2D3748"/>
        <extend val="0"/>
        <sz val="10"/>
        <vertAlign val="baseline"/>
      </font>
      <fill>
        <patternFill patternType="solid">
          <fgColor rgb="FFEDF2F7"/>
          <bgColor rgb="FFE8F6F7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D7377"/>
      <rgbColor rgb="FFC0C0C0"/>
      <rgbColor rgb="FF808080"/>
      <rgbColor rgb="FF9999FF"/>
      <rgbColor rgb="FF993366"/>
      <rgbColor rgb="FFFFF8E1"/>
      <rgbColor rgb="FFE8F6F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7"/>
      <rgbColor rgb="FFE2E8F0"/>
      <rgbColor rgb="FFFFF3CD"/>
      <rgbColor rgb="FF99CCFF"/>
      <rgbColor rgb="FFFF99CC"/>
      <rgbColor rgb="FFCC99FF"/>
      <rgbColor rgb="FFF0F4F8"/>
      <rgbColor rgb="FF3366FF"/>
      <rgbColor rgb="FF33CCCC"/>
      <rgbColor rgb="FF99CC00"/>
      <rgbColor rgb="FFFFCC00"/>
      <rgbColor rgb="FFF39C12"/>
      <rgbColor rgb="FFE74C3C"/>
      <rgbColor rgb="FF4A5568"/>
      <rgbColor rgb="FF94A3B8"/>
      <rgbColor rgb="FF1B2B4B"/>
      <rgbColor rgb="FF27AE60"/>
      <rgbColor rgb="FF003300"/>
      <rgbColor rgb="FF333300"/>
      <rgbColor rgb="FF993300"/>
      <rgbColor rgb="FF993366"/>
      <rgbColor rgb="FF333399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B4:M34" headerRowCount="0" totalsRowShown="0" headerRowDxfId="1" dataDxfId="0" headerRowBorderDxfId="40" tableBorderDxfId="39">
  <tableColumns count="12">
    <tableColumn id="1" name="Column1" headerRowDxfId="38" dataDxfId="13"/>
    <tableColumn id="2" name="Column2" headerRowDxfId="37" dataDxfId="12"/>
    <tableColumn id="3" name="Column3" headerRowDxfId="36" dataDxfId="11"/>
    <tableColumn id="4" name="Column4" headerRowDxfId="35" dataDxfId="10"/>
    <tableColumn id="5" name="Column5" headerRowDxfId="34" dataDxfId="9"/>
    <tableColumn id="6" name="Column6" headerRowDxfId="33" dataDxfId="8"/>
    <tableColumn id="7" name="Column7" headerRowDxfId="32" dataDxfId="7"/>
    <tableColumn id="8" name="Column8" headerRowDxfId="31" dataDxfId="6"/>
    <tableColumn id="9" name="Column9" headerRowDxfId="30" dataDxfId="5"/>
    <tableColumn id="10" name="Column10" headerRowDxfId="29" dataDxfId="4"/>
    <tableColumn id="11" name="Column11" headerRowDxfId="28" dataDxfId="3">
      <calculatedColumnFormula>IF(K5&lt;&gt;"",K5-J5,TODAY()-DATE(MID(J5,7,4),MID(J5,4,2),LEFT(J5,2)))</calculatedColumnFormula>
    </tableColumn>
    <tableColumn id="12" name="Column12" headerRowDxfId="27" dataDxfId="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Vapor Trail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Vapor Trail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nagbhushan@gmail.com" TargetMode="External" Id="rId1"/><Relationship Type="http://schemas.openxmlformats.org/officeDocument/2006/relationships/hyperlink" Target="mailto:amit_kumar@mewaruniversity.co.in" TargetMode="External" Id="rId2"/><Relationship Type="http://schemas.openxmlformats.org/officeDocument/2006/relationships/hyperlink" Target="mailto:vaishnavinetke2806@gmail.com" TargetMode="External" Id="rId3"/><Relationship Type="http://schemas.openxmlformats.org/officeDocument/2006/relationships/hyperlink" Target="mailto:suhas.worlikar@finxpert.org" TargetMode="External" Id="rId4"/><Relationship Type="http://schemas.openxmlformats.org/officeDocument/2006/relationships/hyperlink" Target="mailto:haritajay20@gmail.com" TargetMode="External" Id="rId5"/><Relationship Type="http://schemas.openxmlformats.org/officeDocument/2006/relationships/hyperlink" Target="mailto:principal@rksdcollege.ac.in" TargetMode="External" Id="rId6"/><Relationship Type="http://schemas.openxmlformats.org/officeDocument/2006/relationships/hyperlink" Target="mailto:sahanabalram07@gmail.com" TargetMode="External" Id="rId7"/><Relationship Type="http://schemas.openxmlformats.org/officeDocument/2006/relationships/hyperlink" Target="mailto:nanda.hb98@gmail.com" TargetMode="External" Id="rId8"/><Relationship Type="http://schemas.openxmlformats.org/officeDocument/2006/relationships/hyperlink" Target="mailto:ashok-me@dsatm.edu.in" TargetMode="External" Id="rId9"/><Relationship Type="http://schemas.openxmlformats.org/officeDocument/2006/relationships/hyperlink" Target="mailto:surajdamodaran12@gmail.com" TargetMode="External" Id="rId10"/><Relationship Type="http://schemas.openxmlformats.org/officeDocument/2006/relationships/hyperlink" Target="mailto:dsgaikwad@amity.edu" TargetMode="External" Id="rId11"/><Relationship Type="http://schemas.openxmlformats.org/officeDocument/2006/relationships/hyperlink" Target="mailto:aftabsalmani2523@gmail.com" TargetMode="External" Id="rId12"/><Relationship Type="http://schemas.openxmlformats.org/officeDocument/2006/relationships/hyperlink" Target="mailto:MARYPBSTELLA@GMAIL.COM" TargetMode="External" Id="rId13"/><Relationship Type="http://schemas.openxmlformats.org/officeDocument/2006/relationships/hyperlink" Target="mailto:peterpg_gerald@yahoo.co.in" TargetMode="External" Id="rId14"/><Relationship Type="http://schemas.openxmlformats.org/officeDocument/2006/relationships/hyperlink" Target="mailto:manasalakshmikranthinalla@gmail.com" TargetMode="External" Id="rId15"/><Relationship Type="http://schemas.openxmlformats.org/officeDocument/2006/relationships/hyperlink" Target="mailto:ayushghumare2003@gmail.com0" TargetMode="External" Id="rId16"/><Relationship Type="http://schemas.openxmlformats.org/officeDocument/2006/relationships/hyperlink" Target="mailto:bdharani661@gmail.com" TargetMode="External" Id="rId17"/><Relationship Type="http://schemas.openxmlformats.org/officeDocument/2006/relationships/hyperlink" Target="mailto:121320003030@FSC.IN" TargetMode="External" Id="rId18"/><Relationship Type="http://schemas.openxmlformats.org/officeDocument/2006/relationships/table" Target="/xl/tables/table1.xm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4"/>
  <sheetViews>
    <sheetView showGridLines="0" tabSelected="1" zoomScale="63" zoomScaleNormal="100" zoomScaleSheetLayoutView="39" workbookViewId="0">
      <pane ySplit="3" topLeftCell="A95" activePane="bottomLeft" state="frozen"/>
      <selection pane="bottomLeft" activeCell="H101" sqref="H101"/>
    </sheetView>
  </sheetViews>
  <sheetFormatPr baseColWidth="8" defaultColWidth="16.54296875" defaultRowHeight="14"/>
  <cols>
    <col width="4.7265625" customWidth="1" style="43" min="1" max="1"/>
    <col width="10.81640625" bestFit="1" customWidth="1" style="43" min="2" max="2"/>
    <col width="20.08984375" customWidth="1" style="43" min="3" max="3"/>
    <col width="19.81640625" customWidth="1" style="43" min="4" max="4"/>
    <col width="10" bestFit="1" customWidth="1" style="43" min="5" max="5"/>
    <col width="9.7265625" customWidth="1" style="43" min="6" max="6"/>
    <col width="11.36328125" bestFit="1" customWidth="1" style="43" min="7" max="7"/>
    <col width="9.7265625" customWidth="1" style="43" min="8" max="8"/>
    <col width="13.54296875" bestFit="1" customWidth="1" style="43" min="9" max="9"/>
    <col width="10.453125" bestFit="1" customWidth="1" style="43" min="10" max="10"/>
    <col width="12.90625" bestFit="1" customWidth="1" style="91" min="11" max="11"/>
    <col width="10.54296875" customWidth="1" style="90" min="12" max="12"/>
    <col width="10.81640625" bestFit="1" customWidth="1" style="43" min="13" max="13"/>
    <col width="5.90625" bestFit="1" customWidth="1" style="43" min="14" max="14"/>
    <col width="5.7265625" bestFit="1" customWidth="1" style="43" min="15" max="15"/>
    <col width="16.36328125" bestFit="1" customWidth="1" style="43" min="16" max="16"/>
    <col width="16.453125" bestFit="1" customWidth="1" style="43" min="17" max="17"/>
    <col width="10.6328125" bestFit="1" customWidth="1" style="43" min="18" max="18"/>
    <col width="16.54296875" customWidth="1" style="43" min="19" max="19"/>
    <col width="9.08984375" bestFit="1" customWidth="1" style="43" min="20" max="20"/>
    <col width="14.90625" bestFit="1" customWidth="1" style="43" min="21" max="21"/>
    <col width="16.6328125" bestFit="1" customWidth="1" style="43" min="22" max="22"/>
    <col width="15.7265625" bestFit="1" customWidth="1" style="43" min="23" max="23"/>
    <col width="16.453125" bestFit="1" customWidth="1" style="43" min="24" max="24"/>
    <col width="16.08984375" bestFit="1" customWidth="1" style="43" min="25" max="25"/>
    <col width="9" bestFit="1" customWidth="1" style="43" min="26" max="26"/>
    <col width="14.90625" bestFit="1" customWidth="1" style="43" min="27" max="27"/>
    <col width="5" bestFit="1" customWidth="1" style="43" min="28" max="28"/>
    <col width="5.81640625" bestFit="1" customWidth="1" style="43" min="29" max="29"/>
    <col width="16.54296875" customWidth="1" style="43" min="30" max="30"/>
    <col width="16.54296875" customWidth="1" style="43" min="31" max="16384"/>
  </cols>
  <sheetData>
    <row r="1" ht="20" customFormat="1" customHeight="1" s="43">
      <c r="A1" s="39" t="inlineStr">
        <is>
          <t>🎓  APS APPLICATION TRACKER  —  Document Verification Portal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8" t="n"/>
    </row>
    <row r="2" customFormat="1" s="43">
      <c r="A2" s="44" t="inlineStr">
        <is>
          <t>Track application status, days elapsed, professor contacts, academic scores &amp; APS probability</t>
        </is>
      </c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97" t="n"/>
      <c r="AA2" s="97" t="n"/>
      <c r="AB2" s="97" t="n"/>
      <c r="AC2" s="98" t="n"/>
    </row>
    <row r="3" ht="25" customFormat="1" customHeight="1" s="43">
      <c r="A3" s="45" t="inlineStr">
        <is>
          <t>SR
#</t>
        </is>
      </c>
      <c r="B3" s="45" t="inlineStr">
        <is>
          <t>SUBMISSION
#</t>
        </is>
      </c>
      <c r="C3" s="45" t="inlineStr">
        <is>
          <t>FULL NAME</t>
        </is>
      </c>
      <c r="D3" s="45" t="inlineStr">
        <is>
          <t>EMAIL</t>
        </is>
      </c>
      <c r="E3" s="45" t="inlineStr">
        <is>
          <t>APPLIED
UNIVERSITY</t>
        </is>
      </c>
      <c r="F3" s="45" t="inlineStr">
        <is>
          <t>GENDER</t>
        </is>
      </c>
      <c r="G3" s="45" t="inlineStr">
        <is>
          <t>DOB</t>
        </is>
      </c>
      <c r="H3" s="45" t="inlineStr">
        <is>
          <t>PASSPORT
#</t>
        </is>
      </c>
      <c r="I3" s="45" t="inlineStr">
        <is>
          <t>CONTACT</t>
        </is>
      </c>
      <c r="J3" s="45" t="inlineStr">
        <is>
          <t>DATE OF
PAYMENT</t>
        </is>
      </c>
      <c r="K3" s="46" t="inlineStr">
        <is>
          <t>APS
RECEIVED DATE</t>
        </is>
      </c>
      <c r="L3" s="45" t="inlineStr">
        <is>
          <t>DAYS
ELAPSED</t>
        </is>
      </c>
      <c r="M3" s="45" t="inlineStr">
        <is>
          <t>STATUS</t>
        </is>
      </c>
      <c r="N3" s="45" t="inlineStr">
        <is>
          <t>10TH
%</t>
        </is>
      </c>
      <c r="O3" s="45" t="inlineStr">
        <is>
          <t>12TH
%</t>
        </is>
      </c>
      <c r="P3" s="45" t="inlineStr">
        <is>
          <t>BACHELOR
COURSE</t>
        </is>
      </c>
      <c r="Q3" s="45" t="inlineStr">
        <is>
          <t>BACHELOR
COLLEGE</t>
        </is>
      </c>
      <c r="R3" s="45" t="inlineStr">
        <is>
          <t>BACHELOR
CITY/STATE</t>
        </is>
      </c>
      <c r="S3" s="45" t="inlineStr">
        <is>
          <t>BACHELOR
UNIVERSITY</t>
        </is>
      </c>
      <c r="T3" s="45" t="inlineStr">
        <is>
          <t>BACHELOR
PASS YEAR</t>
        </is>
      </c>
      <c r="U3" s="45" t="inlineStr">
        <is>
          <t>BACHELOR
% / CGPA</t>
        </is>
      </c>
      <c r="V3" s="45" t="inlineStr">
        <is>
          <t>PROFESSOR
EMAIL</t>
        </is>
      </c>
      <c r="W3" s="45" t="inlineStr">
        <is>
          <t>MASTER
COURSE</t>
        </is>
      </c>
      <c r="X3" s="45" t="inlineStr">
        <is>
          <t>MASTER
COLLEGE</t>
        </is>
      </c>
      <c r="Y3" s="45" t="inlineStr">
        <is>
          <t>MASTER
UNIVERSITY</t>
        </is>
      </c>
      <c r="Z3" s="45" t="inlineStr">
        <is>
          <t>MASTER
PASS YEAR</t>
        </is>
      </c>
      <c r="AA3" s="45" t="inlineStr">
        <is>
          <t>MASTER
% / CGPA</t>
        </is>
      </c>
      <c r="AB3" s="45" t="inlineStr">
        <is>
          <t>LANG
CERT</t>
        </is>
      </c>
      <c r="AC3" s="45" t="inlineStr">
        <is>
          <t>LANG
SCORE</t>
        </is>
      </c>
    </row>
    <row r="4" ht="25" customFormat="1" customHeight="1" s="43">
      <c r="A4" s="47" t="n">
        <v>1</v>
      </c>
      <c r="B4" s="47" t="n">
        <v>328041</v>
      </c>
      <c r="C4" s="47" t="inlineStr">
        <is>
          <t>Abhishek Chaurasia</t>
        </is>
      </c>
      <c r="D4" s="48" t="inlineStr">
        <is>
          <t>abhishekchaurasia590@gmail.com</t>
        </is>
      </c>
      <c r="E4" s="47" t="n"/>
      <c r="F4" s="47" t="inlineStr">
        <is>
          <t>Male</t>
        </is>
      </c>
      <c r="G4" s="47" t="inlineStr">
        <is>
          <t>23/07/2000</t>
        </is>
      </c>
      <c r="H4" s="47" t="inlineStr">
        <is>
          <t>W4809948</t>
        </is>
      </c>
      <c r="I4" s="47" t="n">
        <v>7045384665</v>
      </c>
      <c r="J4" s="47" t="inlineStr">
        <is>
          <t>03/12/2025</t>
        </is>
      </c>
      <c r="K4" s="49" t="inlineStr">
        <is>
          <t>21/01/2026</t>
        </is>
      </c>
      <c r="L4" s="50">
        <f>IF(K4&lt;&gt;"",K4-J4,TODAY()-DATE(MID(J4,7,4),MID(J4,4,2),LEFT(J4,2)))</f>
        <v/>
      </c>
      <c r="M4" s="51" t="inlineStr">
        <is>
          <t>APS Received</t>
        </is>
      </c>
      <c r="N4" s="52" t="n">
        <v>48.4</v>
      </c>
      <c r="O4" s="52" t="n">
        <v>49.23</v>
      </c>
      <c r="P4" s="52" t="inlineStr">
        <is>
          <t>B.Com</t>
        </is>
      </c>
      <c r="Q4" s="52" t="inlineStr">
        <is>
          <t>Reena Mehta College</t>
        </is>
      </c>
      <c r="R4" s="52" t="inlineStr">
        <is>
          <t>Thane</t>
        </is>
      </c>
      <c r="S4" s="52" t="inlineStr">
        <is>
          <t>Mumbai University</t>
        </is>
      </c>
      <c r="T4" s="52" t="n">
        <v>2020</v>
      </c>
      <c r="U4" s="52" t="inlineStr">
        <is>
          <t>5.5 CGPA</t>
        </is>
      </c>
      <c r="V4" s="52" t="inlineStr">
        <is>
          <t>enquiry@rmc.edu.in</t>
        </is>
      </c>
      <c r="W4" s="52" t="inlineStr">
        <is>
          <t>MBA</t>
        </is>
      </c>
      <c r="X4" s="52" t="inlineStr">
        <is>
          <t>Rohidas Patil Institute</t>
        </is>
      </c>
      <c r="Y4" s="52" t="inlineStr">
        <is>
          <t>Mumbai University</t>
        </is>
      </c>
      <c r="Z4" s="52" t="n">
        <v>2022</v>
      </c>
      <c r="AA4" s="52" t="inlineStr">
        <is>
          <t>7.7 CGPA</t>
        </is>
      </c>
      <c r="AB4" s="52" t="n"/>
      <c r="AC4" s="52" t="n"/>
    </row>
    <row r="5" ht="25" customFormat="1" customHeight="1" s="43">
      <c r="A5" s="53" t="n">
        <v>2</v>
      </c>
      <c r="B5" s="53" t="n">
        <v>325697</v>
      </c>
      <c r="C5" s="53" t="inlineStr">
        <is>
          <t>Anjum Biradar</t>
        </is>
      </c>
      <c r="D5" s="54" t="inlineStr">
        <is>
          <t>anjum.bds@gmail.com</t>
        </is>
      </c>
      <c r="E5" s="53" t="n"/>
      <c r="F5" s="53" t="inlineStr">
        <is>
          <t>Female</t>
        </is>
      </c>
      <c r="G5" s="53" t="inlineStr">
        <is>
          <t>01/06/1987</t>
        </is>
      </c>
      <c r="H5" s="53" t="inlineStr">
        <is>
          <t>C0301882</t>
        </is>
      </c>
      <c r="I5" s="53" t="inlineStr">
        <is>
          <t>9986437428</t>
        </is>
      </c>
      <c r="J5" s="53" t="inlineStr">
        <is>
          <t>19/11/2025</t>
        </is>
      </c>
      <c r="K5" s="55" t="n"/>
      <c r="L5" s="50">
        <f>IF(K5&lt;&gt;"",K5-J5,TODAY()-DATE(MID(J5,7,4),MID(J5,4,2),LEFT(J5,2)))</f>
        <v/>
      </c>
      <c r="M5" s="51" t="inlineStr">
        <is>
          <t>Pending</t>
        </is>
      </c>
      <c r="N5" s="56" t="n">
        <v>81.73</v>
      </c>
      <c r="O5" s="56" t="n">
        <v>80.33</v>
      </c>
      <c r="P5" s="56" t="inlineStr">
        <is>
          <t>BDS</t>
        </is>
      </c>
      <c r="Q5" s="56" t="inlineStr">
        <is>
          <t>R.V Dental College</t>
        </is>
      </c>
      <c r="R5" s="56" t="inlineStr">
        <is>
          <t>Bangalore</t>
        </is>
      </c>
      <c r="S5" s="56" t="inlineStr">
        <is>
          <t>Rajiv Gandhi Univ of Health Sciences</t>
        </is>
      </c>
      <c r="T5" s="56" t="n">
        <v>2009</v>
      </c>
      <c r="U5" s="56" t="inlineStr">
        <is>
          <t>61.1% / 6.4 CGPA</t>
        </is>
      </c>
      <c r="V5" s="56" t="inlineStr">
        <is>
          <t>examination@rguhs.ac.in</t>
        </is>
      </c>
      <c r="W5" s="56" t="inlineStr">
        <is>
          <t>PG Diploma</t>
        </is>
      </c>
      <c r="X5" s="56" t="inlineStr">
        <is>
          <t>Symbiosis Centre of Health Care</t>
        </is>
      </c>
      <c r="Y5" s="56" t="inlineStr">
        <is>
          <t>Symbiosis</t>
        </is>
      </c>
      <c r="Z5" s="56" t="n">
        <v>2014</v>
      </c>
      <c r="AA5" s="56" t="inlineStr">
        <is>
          <t>63.6%</t>
        </is>
      </c>
      <c r="AB5" s="56" t="n"/>
      <c r="AC5" s="56" t="n"/>
    </row>
    <row r="6" ht="25" customFormat="1" customHeight="1" s="43">
      <c r="A6" s="47" t="n">
        <v>3</v>
      </c>
      <c r="B6" s="47" t="n">
        <v>351267</v>
      </c>
      <c r="C6" s="47" t="inlineStr">
        <is>
          <t>Atul Tayade</t>
        </is>
      </c>
      <c r="D6" s="48" t="inlineStr">
        <is>
          <t>tayadeat@gmail.com</t>
        </is>
      </c>
      <c r="E6" s="47" t="n"/>
      <c r="F6" s="47" t="inlineStr">
        <is>
          <t>Male</t>
        </is>
      </c>
      <c r="G6" s="47" t="inlineStr">
        <is>
          <t>31/12/1988</t>
        </is>
      </c>
      <c r="H6" s="47" t="inlineStr">
        <is>
          <t>AP478200</t>
        </is>
      </c>
      <c r="I6" s="47" t="inlineStr">
        <is>
          <t>9595872573</t>
        </is>
      </c>
      <c r="J6" s="47" t="inlineStr">
        <is>
          <t>02/04/2026</t>
        </is>
      </c>
      <c r="K6" s="49" t="n"/>
      <c r="L6" s="50">
        <f>IF(K6&lt;&gt;"",K6-J6,TODAY()-DATE(MID(J6,7,4),MID(J6,4,2),LEFT(J6,2)))</f>
        <v/>
      </c>
      <c r="M6" s="51" t="inlineStr">
        <is>
          <t>Pending</t>
        </is>
      </c>
      <c r="N6" s="52" t="n">
        <v>77.59999999999999</v>
      </c>
      <c r="O6" s="52" t="n">
        <v>76.17</v>
      </c>
      <c r="P6" s="52" t="inlineStr">
        <is>
          <t>BE</t>
        </is>
      </c>
      <c r="Q6" s="52" t="inlineStr">
        <is>
          <t>VIIT</t>
        </is>
      </c>
      <c r="R6" s="52" t="inlineStr">
        <is>
          <t>Bhusawal</t>
        </is>
      </c>
      <c r="S6" s="52" t="inlineStr">
        <is>
          <t>Pune University</t>
        </is>
      </c>
      <c r="T6" s="52" t="n">
        <v>2012</v>
      </c>
      <c r="U6" s="52" t="inlineStr">
        <is>
          <t>49.56%</t>
        </is>
      </c>
      <c r="V6" s="52" t="inlineStr">
        <is>
          <t>manohar.kodmelwar@viit.ac.in</t>
        </is>
      </c>
      <c r="W6" s="52" t="n"/>
      <c r="X6" s="52" t="n"/>
      <c r="Y6" s="52" t="n"/>
      <c r="Z6" s="52" t="n"/>
      <c r="AA6" s="52" t="n"/>
      <c r="AB6" s="52" t="n"/>
      <c r="AC6" s="52" t="n"/>
    </row>
    <row r="7" ht="25" customFormat="1" customHeight="1" s="43">
      <c r="A7" s="53" t="n">
        <v>4</v>
      </c>
      <c r="B7" s="53" t="n">
        <v>328137</v>
      </c>
      <c r="C7" s="53" t="inlineStr">
        <is>
          <t>Digambar Pawar</t>
        </is>
      </c>
      <c r="D7" s="54" t="inlineStr">
        <is>
          <t>dspawar45@hotmail.com</t>
        </is>
      </c>
      <c r="E7" s="53" t="n"/>
      <c r="F7" s="53" t="inlineStr">
        <is>
          <t>Male</t>
        </is>
      </c>
      <c r="G7" s="53" t="inlineStr">
        <is>
          <t>19/10/1991</t>
        </is>
      </c>
      <c r="H7" s="53" t="inlineStr">
        <is>
          <t>Z8185695</t>
        </is>
      </c>
      <c r="I7" s="53" t="inlineStr">
        <is>
          <t>9403725008</t>
        </is>
      </c>
      <c r="J7" s="53" t="inlineStr">
        <is>
          <t>04/12/2025</t>
        </is>
      </c>
      <c r="K7" s="55" t="inlineStr">
        <is>
          <t>29/01/2026</t>
        </is>
      </c>
      <c r="L7" s="50">
        <f>IF(K7&lt;&gt;"",K7-J7,TODAY()-DATE(MID(J7,7,4),MID(J7,4,2),LEFT(J7,2)))</f>
        <v/>
      </c>
      <c r="M7" s="51" t="inlineStr">
        <is>
          <t>APS Received</t>
        </is>
      </c>
      <c r="N7" s="56" t="n">
        <v>57.23</v>
      </c>
      <c r="O7" s="56" t="n">
        <v>56.67</v>
      </c>
      <c r="P7" s="56" t="inlineStr">
        <is>
          <t>B.Tech</t>
        </is>
      </c>
      <c r="Q7" s="56" t="inlineStr">
        <is>
          <t>Dept of Technology Shivaji University</t>
        </is>
      </c>
      <c r="R7" s="56" t="inlineStr">
        <is>
          <t>Miraj</t>
        </is>
      </c>
      <c r="S7" s="56" t="inlineStr">
        <is>
          <t>Shivaji University</t>
        </is>
      </c>
      <c r="T7" s="56" t="n">
        <v>2014</v>
      </c>
      <c r="U7" s="56" t="inlineStr">
        <is>
          <t>64.9%</t>
        </is>
      </c>
      <c r="V7" s="56" t="inlineStr">
        <is>
          <t>cja_tech@unishivaji.ac.in</t>
        </is>
      </c>
      <c r="W7" s="56" t="n"/>
      <c r="X7" s="56" t="n"/>
      <c r="Y7" s="56" t="n"/>
      <c r="Z7" s="56" t="n"/>
      <c r="AA7" s="56" t="n"/>
      <c r="AB7" s="56" t="n"/>
      <c r="AC7" s="56" t="n"/>
    </row>
    <row r="8" customFormat="1" s="43">
      <c r="A8" s="47" t="n">
        <v>5</v>
      </c>
      <c r="B8" s="47" t="n">
        <v>350141</v>
      </c>
      <c r="C8" s="47" t="inlineStr">
        <is>
          <t>Faiq Faiq</t>
        </is>
      </c>
      <c r="D8" s="48" t="inlineStr">
        <is>
          <t>Faiqrizi123@gmail.com</t>
        </is>
      </c>
      <c r="E8" s="47" t="n"/>
      <c r="F8" s="47" t="inlineStr">
        <is>
          <t>Female</t>
        </is>
      </c>
      <c r="G8" s="47" t="inlineStr">
        <is>
          <t>14/06/1993</t>
        </is>
      </c>
      <c r="H8" s="47" t="inlineStr">
        <is>
          <t>U4858809</t>
        </is>
      </c>
      <c r="I8" s="47" t="inlineStr">
        <is>
          <t>7051750800</t>
        </is>
      </c>
      <c r="J8" s="47" t="inlineStr">
        <is>
          <t>26/03/2026</t>
        </is>
      </c>
      <c r="K8" s="49" t="inlineStr">
        <is>
          <t>28/04/2026</t>
        </is>
      </c>
      <c r="L8" s="50">
        <f>IF(K8&lt;&gt;"",K8-J8,TODAY()-DATE(MID(J8,7,4),MID(J8,4,2),LEFT(J8,2)))</f>
        <v/>
      </c>
      <c r="M8" s="51" t="inlineStr">
        <is>
          <t>APS Received</t>
        </is>
      </c>
      <c r="N8" s="52" t="n">
        <v>86</v>
      </c>
      <c r="O8" s="52" t="n">
        <v>63</v>
      </c>
      <c r="P8" s="52" t="inlineStr">
        <is>
          <t>B.Tech</t>
        </is>
      </c>
      <c r="Q8" s="52" t="inlineStr">
        <is>
          <t>BUEST</t>
        </is>
      </c>
      <c r="R8" s="52" t="inlineStr">
        <is>
          <t>Srinagar</t>
        </is>
      </c>
      <c r="S8" s="52" t="inlineStr">
        <is>
          <t>Baddi University</t>
        </is>
      </c>
      <c r="T8" s="52" t="n">
        <v>2019</v>
      </c>
      <c r="U8" s="52" t="inlineStr">
        <is>
          <t>50% / 5.0 CGPA</t>
        </is>
      </c>
      <c r="V8" s="52" t="inlineStr">
        <is>
          <t>registrar@baddiuniv.ac.in</t>
        </is>
      </c>
      <c r="W8" s="52" t="n"/>
      <c r="X8" s="52" t="n"/>
      <c r="Y8" s="52" t="n"/>
      <c r="Z8" s="52" t="n"/>
      <c r="AA8" s="52" t="n"/>
      <c r="AB8" s="52" t="n"/>
      <c r="AC8" s="52" t="n"/>
    </row>
    <row r="9" ht="25" customFormat="1" customHeight="1" s="43">
      <c r="A9" s="53" t="n">
        <v>6</v>
      </c>
      <c r="B9" s="53" t="n">
        <v>339028</v>
      </c>
      <c r="C9" s="53" t="inlineStr">
        <is>
          <t>Gaurav</t>
        </is>
      </c>
      <c r="D9" s="54" t="inlineStr">
        <is>
          <t>gauravjx12@gmail.com</t>
        </is>
      </c>
      <c r="E9" s="53" t="n"/>
      <c r="F9" s="53" t="inlineStr">
        <is>
          <t>Male</t>
        </is>
      </c>
      <c r="G9" s="53" t="inlineStr">
        <is>
          <t>12/11/1995</t>
        </is>
      </c>
      <c r="H9" s="53" t="inlineStr">
        <is>
          <t>W4984243</t>
        </is>
      </c>
      <c r="I9" s="53" t="inlineStr">
        <is>
          <t>7056319981</t>
        </is>
      </c>
      <c r="J9" s="53" t="inlineStr">
        <is>
          <t>02/02/2026</t>
        </is>
      </c>
      <c r="K9" s="55" t="inlineStr">
        <is>
          <t>16/03/2026</t>
        </is>
      </c>
      <c r="L9" s="50">
        <f>IF(K9&lt;&gt;"",K9-J9,TODAY()-DATE(MID(J9,7,4),MID(J9,4,2),LEFT(J9,2)))</f>
        <v/>
      </c>
      <c r="M9" s="51" t="inlineStr">
        <is>
          <t>APS Received</t>
        </is>
      </c>
      <c r="N9" s="56" t="n">
        <v>77.90000000000001</v>
      </c>
      <c r="O9" s="56" t="n">
        <v>67</v>
      </c>
      <c r="P9" s="56" t="inlineStr">
        <is>
          <t>B.Tech</t>
        </is>
      </c>
      <c r="Q9" s="56" t="inlineStr">
        <is>
          <t>YMCA University</t>
        </is>
      </c>
      <c r="R9" s="56" t="inlineStr">
        <is>
          <t>Bahadurgarh</t>
        </is>
      </c>
      <c r="S9" s="56" t="inlineStr">
        <is>
          <t>YMCA University of Sci &amp; Tech</t>
        </is>
      </c>
      <c r="T9" s="56" t="n">
        <v>2016</v>
      </c>
      <c r="U9" s="56" t="inlineStr">
        <is>
          <t>50%</t>
        </is>
      </c>
      <c r="V9" s="56" t="inlineStr">
        <is>
          <t>result001@jcboseust.ac.in</t>
        </is>
      </c>
      <c r="W9" s="56" t="n"/>
      <c r="X9" s="56" t="n"/>
      <c r="Y9" s="56" t="n"/>
      <c r="Z9" s="56" t="n"/>
      <c r="AA9" s="56" t="n"/>
      <c r="AB9" s="56" t="n"/>
      <c r="AC9" s="56" t="n"/>
    </row>
    <row r="10" ht="25" customFormat="1" customHeight="1" s="43">
      <c r="A10" s="47" t="n">
        <v>7</v>
      </c>
      <c r="B10" s="47" t="n">
        <v>352448</v>
      </c>
      <c r="C10" s="47" t="inlineStr">
        <is>
          <t>Hemanth Urs H R</t>
        </is>
      </c>
      <c r="D10" s="48" t="inlineStr">
        <is>
          <t>hemanthurs8@gmail.com</t>
        </is>
      </c>
      <c r="E10" s="47" t="n"/>
      <c r="F10" s="47" t="inlineStr">
        <is>
          <t>Male</t>
        </is>
      </c>
      <c r="G10" s="47" t="inlineStr">
        <is>
          <t>24/03/2002</t>
        </is>
      </c>
      <c r="H10" s="47" t="inlineStr">
        <is>
          <t>AL490525</t>
        </is>
      </c>
      <c r="I10" s="47" t="inlineStr">
        <is>
          <t>9686593524</t>
        </is>
      </c>
      <c r="J10" s="47" t="inlineStr">
        <is>
          <t>10/04/2026</t>
        </is>
      </c>
      <c r="K10" s="49" t="n"/>
      <c r="L10" s="50">
        <f>IF(K10&lt;&gt;"",K10-J10,TODAY()-DATE(MID(J10,7,4),MID(J10,4,2),LEFT(J10,2)))</f>
        <v/>
      </c>
      <c r="M10" s="51" t="inlineStr">
        <is>
          <t>Pending</t>
        </is>
      </c>
      <c r="N10" s="52" t="n">
        <v>76</v>
      </c>
      <c r="O10" s="52" t="inlineStr">
        <is>
          <t>N/A</t>
        </is>
      </c>
      <c r="P10" s="52" t="inlineStr">
        <is>
          <t>BE</t>
        </is>
      </c>
      <c r="Q10" s="52" t="inlineStr">
        <is>
          <t>Malnad College of Engineering</t>
        </is>
      </c>
      <c r="R10" s="52" t="inlineStr">
        <is>
          <t>Hassan</t>
        </is>
      </c>
      <c r="S10" s="52" t="inlineStr">
        <is>
          <t>Visvesvaraya Tech University</t>
        </is>
      </c>
      <c r="T10" s="52" t="n">
        <v>2025</v>
      </c>
      <c r="U10" s="52" t="inlineStr">
        <is>
          <t>7.0 CGPA</t>
        </is>
      </c>
      <c r="V10" s="52" t="n"/>
      <c r="W10" s="52" t="inlineStr">
        <is>
          <t>Still Studying</t>
        </is>
      </c>
      <c r="X10" s="52" t="n"/>
      <c r="Y10" s="52" t="n"/>
      <c r="Z10" s="52" t="n"/>
      <c r="AA10" s="52" t="n"/>
      <c r="AB10" s="52" t="n"/>
      <c r="AC10" s="52" t="n"/>
    </row>
    <row r="11" ht="25" customFormat="1" customHeight="1" s="43">
      <c r="A11" s="47" t="n">
        <v>8</v>
      </c>
      <c r="B11" s="47" t="n">
        <v>339274</v>
      </c>
      <c r="C11" s="47" t="inlineStr">
        <is>
          <t>Lakshana Ragunathan</t>
        </is>
      </c>
      <c r="D11" s="48" t="inlineStr">
        <is>
          <t>lakshanar029@gmail.com</t>
        </is>
      </c>
      <c r="E11" s="47" t="n"/>
      <c r="F11" s="47" t="inlineStr">
        <is>
          <t>Female</t>
        </is>
      </c>
      <c r="G11" s="47" t="inlineStr">
        <is>
          <t>29/06/2003</t>
        </is>
      </c>
      <c r="H11" s="47" t="inlineStr">
        <is>
          <t>AF037641</t>
        </is>
      </c>
      <c r="I11" s="47" t="inlineStr">
        <is>
          <t>9345881682</t>
        </is>
      </c>
      <c r="J11" s="47" t="inlineStr">
        <is>
          <t>03/02/2026</t>
        </is>
      </c>
      <c r="K11" s="49" t="n"/>
      <c r="L11" s="50">
        <f>IF(K11&lt;&gt;"",K11-J11,TODAY()-DATE(MID(J11,7,4),MID(J11,4,2),LEFT(J11,2)))</f>
        <v/>
      </c>
      <c r="M11" s="51" t="inlineStr">
        <is>
          <t>Pending</t>
        </is>
      </c>
      <c r="N11" s="52" t="n">
        <v>76</v>
      </c>
      <c r="O11" s="52" t="n">
        <v>81</v>
      </c>
      <c r="P11" s="52" t="inlineStr">
        <is>
          <t>BE</t>
        </is>
      </c>
      <c r="Q11" s="52" t="inlineStr">
        <is>
          <t>Muthayammal Engineering College</t>
        </is>
      </c>
      <c r="R11" s="52" t="inlineStr">
        <is>
          <t>Namakkal</t>
        </is>
      </c>
      <c r="S11" s="52" t="inlineStr">
        <is>
          <t>Anna University</t>
        </is>
      </c>
      <c r="T11" s="52" t="n">
        <v>2025</v>
      </c>
      <c r="U11" s="52" t="inlineStr">
        <is>
          <t>8.3 CGPA</t>
        </is>
      </c>
      <c r="V11" s="52" t="inlineStr">
        <is>
          <t>hod.cse@mec.edu.in</t>
        </is>
      </c>
      <c r="W11" s="52" t="n"/>
      <c r="X11" s="52" t="n"/>
      <c r="Y11" s="52" t="n"/>
      <c r="Z11" s="52" t="n"/>
      <c r="AA11" s="52" t="n"/>
      <c r="AB11" s="52" t="n"/>
      <c r="AC11" s="52" t="n"/>
    </row>
    <row r="12" ht="25" customFormat="1" customHeight="1" s="43">
      <c r="A12" s="53" t="n">
        <v>9</v>
      </c>
      <c r="B12" s="53" t="n">
        <v>334034</v>
      </c>
      <c r="C12" s="53" t="inlineStr">
        <is>
          <t>Nagabhushan C R</t>
        </is>
      </c>
      <c r="D12" s="57" t="inlineStr">
        <is>
          <t>crnagbhushan@gmail.com</t>
        </is>
      </c>
      <c r="E12" s="53" t="n"/>
      <c r="F12" s="53" t="inlineStr">
        <is>
          <t>Male</t>
        </is>
      </c>
      <c r="G12" s="53" t="inlineStr">
        <is>
          <t>16/09/1998</t>
        </is>
      </c>
      <c r="H12" s="53" t="inlineStr">
        <is>
          <t>AA442134</t>
        </is>
      </c>
      <c r="I12" s="53" t="inlineStr">
        <is>
          <t>8197264693</t>
        </is>
      </c>
      <c r="J12" s="53" t="inlineStr">
        <is>
          <t>08/01/2026</t>
        </is>
      </c>
      <c r="K12" s="55" t="inlineStr">
        <is>
          <t>2/02/2026</t>
        </is>
      </c>
      <c r="L12" s="50">
        <f>IF(K12&lt;&gt;"",K12-J12,TODAY()-DATE(MID(J12,7,4),MID(J12,4,2),LEFT(J12,2)))</f>
        <v/>
      </c>
      <c r="M12" s="51" t="inlineStr">
        <is>
          <t>APS Received</t>
        </is>
      </c>
      <c r="N12" s="56" t="n">
        <v>86.88</v>
      </c>
      <c r="O12" s="56" t="n">
        <v>70.5</v>
      </c>
      <c r="P12" s="56" t="inlineStr">
        <is>
          <t>BE</t>
        </is>
      </c>
      <c r="Q12" s="56" t="inlineStr">
        <is>
          <t>RNS Institute of Technology</t>
        </is>
      </c>
      <c r="R12" s="56" t="inlineStr">
        <is>
          <t>Bangalore</t>
        </is>
      </c>
      <c r="S12" s="56" t="inlineStr">
        <is>
          <t>Visvesvaraya Tech University</t>
        </is>
      </c>
      <c r="T12" s="56" t="n">
        <v>2020</v>
      </c>
      <c r="U12" s="56" t="inlineStr">
        <is>
          <t>61.7% / 6.9 CGPA</t>
        </is>
      </c>
      <c r="V12" s="56" t="inlineStr">
        <is>
          <t>hod.civil@rnsit.ac.in</t>
        </is>
      </c>
      <c r="W12" s="56" t="n"/>
      <c r="X12" s="56" t="n"/>
      <c r="Y12" s="56" t="n"/>
      <c r="Z12" s="56" t="n"/>
      <c r="AA12" s="56" t="n"/>
      <c r="AB12" s="56" t="n"/>
      <c r="AC12" s="56" t="n"/>
    </row>
    <row r="13" ht="25" customFormat="1" customHeight="1" s="43">
      <c r="A13" s="47" t="n">
        <v>10</v>
      </c>
      <c r="B13" s="47" t="n">
        <v>344361</v>
      </c>
      <c r="C13" s="47" t="inlineStr">
        <is>
          <t>Neha Abhyankar</t>
        </is>
      </c>
      <c r="D13" s="48" t="inlineStr">
        <is>
          <t>work.nehaabhyankar@gmail.com</t>
        </is>
      </c>
      <c r="E13" s="47" t="n"/>
      <c r="F13" s="47" t="inlineStr">
        <is>
          <t>Female</t>
        </is>
      </c>
      <c r="G13" s="47" t="inlineStr">
        <is>
          <t>07/01/1988</t>
        </is>
      </c>
      <c r="H13" s="47" t="inlineStr">
        <is>
          <t>AE453117</t>
        </is>
      </c>
      <c r="I13" s="47" t="inlineStr">
        <is>
          <t>8390175252</t>
        </is>
      </c>
      <c r="J13" s="47" t="inlineStr">
        <is>
          <t>25/02/2026</t>
        </is>
      </c>
      <c r="K13" s="49" t="n"/>
      <c r="L13" s="50">
        <f>IF(K13&lt;&gt;"",K13-J13,TODAY()-DATE(MID(J13,7,4),MID(J13,4,2),LEFT(J13,2)))</f>
        <v/>
      </c>
      <c r="M13" s="51" t="inlineStr">
        <is>
          <t>Pending</t>
        </is>
      </c>
      <c r="N13" s="52" t="n">
        <v>67.59999999999999</v>
      </c>
      <c r="O13" s="52" t="n">
        <v>72</v>
      </c>
      <c r="P13" s="52" t="inlineStr">
        <is>
          <t>Bachelor in Foreign Trade</t>
        </is>
      </c>
      <c r="Q13" s="52" t="inlineStr">
        <is>
          <t>IIFTR</t>
        </is>
      </c>
      <c r="R13" s="52" t="inlineStr">
        <is>
          <t>Pune</t>
        </is>
      </c>
      <c r="S13" s="52" t="inlineStr">
        <is>
          <t>Devi Ahilya Vishwavidyalaya</t>
        </is>
      </c>
      <c r="T13" s="52" t="n">
        <v>2008</v>
      </c>
      <c r="U13" s="52" t="inlineStr">
        <is>
          <t>69.38%</t>
        </is>
      </c>
      <c r="V13" s="52" t="inlineStr">
        <is>
          <t>registrar.davv@dauniv.ac.in</t>
        </is>
      </c>
      <c r="W13" s="52" t="inlineStr">
        <is>
          <t>Masters in Foreign Trade</t>
        </is>
      </c>
      <c r="X13" s="52" t="inlineStr">
        <is>
          <t>IIFTR</t>
        </is>
      </c>
      <c r="Y13" s="52" t="inlineStr">
        <is>
          <t>Devi Ahilya Vishwavidyalaya</t>
        </is>
      </c>
      <c r="Z13" s="52" t="n">
        <v>2010</v>
      </c>
      <c r="AA13" s="52" t="inlineStr">
        <is>
          <t>70.92%</t>
        </is>
      </c>
      <c r="AB13" s="52" t="n"/>
      <c r="AC13" s="52" t="n"/>
    </row>
    <row r="14" ht="25" customFormat="1" customHeight="1" s="43">
      <c r="A14" s="53" t="n">
        <v>11</v>
      </c>
      <c r="B14" s="53" t="n">
        <v>344345</v>
      </c>
      <c r="C14" s="53" t="inlineStr">
        <is>
          <t>Nishant Prajapati</t>
        </is>
      </c>
      <c r="D14" s="54" t="inlineStr">
        <is>
          <t>nishantprajapati149@gmail.com</t>
        </is>
      </c>
      <c r="E14" s="53" t="n"/>
      <c r="F14" s="53" t="inlineStr">
        <is>
          <t>Male</t>
        </is>
      </c>
      <c r="G14" s="53" t="inlineStr">
        <is>
          <t>06/04/1999</t>
        </is>
      </c>
      <c r="H14" s="53" t="inlineStr">
        <is>
          <t>AJ805883</t>
        </is>
      </c>
      <c r="I14" s="53" t="inlineStr">
        <is>
          <t>8160460166</t>
        </is>
      </c>
      <c r="J14" s="53" t="inlineStr">
        <is>
          <t>25/02/2026</t>
        </is>
      </c>
      <c r="K14" s="55" t="n"/>
      <c r="L14" s="50">
        <f>IF(K14&lt;&gt;"",K14-J14,TODAY()-DATE(MID(J14,7,4),MID(J14,4,2),LEFT(J14,2)))</f>
        <v/>
      </c>
      <c r="M14" s="51" t="inlineStr">
        <is>
          <t>Pending</t>
        </is>
      </c>
      <c r="N14" s="56" t="n">
        <v>68.5</v>
      </c>
      <c r="O14" s="56" t="n">
        <v>46.3</v>
      </c>
      <c r="P14" s="56" t="inlineStr">
        <is>
          <t>BSc Chemistry</t>
        </is>
      </c>
      <c r="Q14" s="56" t="inlineStr">
        <is>
          <t>H.N.S.B Bank Ltd. Science College</t>
        </is>
      </c>
      <c r="R14" s="56" t="inlineStr">
        <is>
          <t>Himatnagar</t>
        </is>
      </c>
      <c r="S14" s="56" t="inlineStr">
        <is>
          <t>Hemchandracharya North Gujarat Univ</t>
        </is>
      </c>
      <c r="T14" s="56" t="n">
        <v>2019</v>
      </c>
      <c r="U14" s="56" t="inlineStr">
        <is>
          <t>62% / 7.0 CGPA</t>
        </is>
      </c>
      <c r="V14" s="56" t="inlineStr">
        <is>
          <t>regi@ngu.ac.in</t>
        </is>
      </c>
      <c r="W14" s="56" t="inlineStr">
        <is>
          <t>MSc Organic Chemistry</t>
        </is>
      </c>
      <c r="X14" s="56" t="inlineStr">
        <is>
          <t>Nootan Science &amp; Commerce College</t>
        </is>
      </c>
      <c r="Y14" s="56" t="inlineStr">
        <is>
          <t>Sakalchand Patel University</t>
        </is>
      </c>
      <c r="Z14" s="56" t="n">
        <v>2021</v>
      </c>
      <c r="AA14" s="56" t="inlineStr">
        <is>
          <t>73.8% / 7.0 CGPA</t>
        </is>
      </c>
      <c r="AB14" s="56" t="n"/>
      <c r="AC14" s="56" t="n"/>
    </row>
    <row r="15" ht="21" customFormat="1" customHeight="1" s="43">
      <c r="A15" s="47" t="n">
        <v>12</v>
      </c>
      <c r="B15" s="47" t="n">
        <v>328124</v>
      </c>
      <c r="C15" s="47" t="inlineStr">
        <is>
          <t>Prethiviraj B</t>
        </is>
      </c>
      <c r="D15" s="48" t="inlineStr">
        <is>
          <t>prethiviraj07@gmail.com</t>
        </is>
      </c>
      <c r="E15" s="47" t="n"/>
      <c r="F15" s="47" t="inlineStr">
        <is>
          <t>Male</t>
        </is>
      </c>
      <c r="G15" s="47" t="inlineStr">
        <is>
          <t>12/03/2004</t>
        </is>
      </c>
      <c r="H15" s="47" t="inlineStr">
        <is>
          <t>Y7560534</t>
        </is>
      </c>
      <c r="I15" s="47" t="inlineStr">
        <is>
          <t>9952620642</t>
        </is>
      </c>
      <c r="J15" s="47" t="inlineStr">
        <is>
          <t>04/12/2025</t>
        </is>
      </c>
      <c r="K15" s="49" t="inlineStr">
        <is>
          <t>9/12/2025</t>
        </is>
      </c>
      <c r="L15" s="50">
        <f>IF(K15&lt;&gt;"",K15-J15,TODAY()-DATE(MID(J15,7,4),MID(J15,4,2),LEFT(J15,2)))</f>
        <v/>
      </c>
      <c r="M15" s="51" t="inlineStr">
        <is>
          <t>APS Received</t>
        </is>
      </c>
      <c r="N15" s="52" t="n">
        <v>52.8</v>
      </c>
      <c r="O15" s="52" t="n">
        <v>76.2</v>
      </c>
      <c r="P15" s="52" t="inlineStr">
        <is>
          <t>B.Tech Mechatronics</t>
        </is>
      </c>
      <c r="Q15" s="52" t="inlineStr">
        <is>
          <t>Presidency University</t>
        </is>
      </c>
      <c r="R15" s="52" t="inlineStr">
        <is>
          <t>Puducherry</t>
        </is>
      </c>
      <c r="S15" s="52" t="inlineStr">
        <is>
          <t>Presidency University</t>
        </is>
      </c>
      <c r="T15" s="52" t="n">
        <v>2025</v>
      </c>
      <c r="U15" s="52" t="inlineStr">
        <is>
          <t>6.3 CGPA</t>
        </is>
      </c>
      <c r="V15" s="52" t="n"/>
      <c r="W15" s="52" t="n"/>
      <c r="X15" s="52" t="n"/>
      <c r="Y15" s="52" t="n"/>
      <c r="Z15" s="52" t="n"/>
      <c r="AA15" s="52" t="n"/>
      <c r="AB15" s="52" t="inlineStr">
        <is>
          <t>IELTS</t>
        </is>
      </c>
      <c r="AC15" s="52" t="inlineStr">
        <is>
          <t>6.0</t>
        </is>
      </c>
    </row>
    <row r="16" ht="25" customFormat="1" customHeight="1" s="43">
      <c r="A16" s="53" t="n">
        <v>13</v>
      </c>
      <c r="B16" s="53" t="n">
        <v>334207</v>
      </c>
      <c r="C16" s="53" t="inlineStr">
        <is>
          <t>Reacha Kain</t>
        </is>
      </c>
      <c r="D16" s="54" t="inlineStr">
        <is>
          <t>richakain28@gmail.com</t>
        </is>
      </c>
      <c r="E16" s="53" t="n"/>
      <c r="F16" s="53" t="inlineStr">
        <is>
          <t>Female</t>
        </is>
      </c>
      <c r="G16" s="53" t="inlineStr">
        <is>
          <t>28/09/2003</t>
        </is>
      </c>
      <c r="H16" s="53" t="inlineStr">
        <is>
          <t>AB946907</t>
        </is>
      </c>
      <c r="I16" s="53" t="inlineStr">
        <is>
          <t>7989400738</t>
        </is>
      </c>
      <c r="J16" s="53" t="inlineStr">
        <is>
          <t>09/01/2026</t>
        </is>
      </c>
      <c r="K16" s="55" t="inlineStr">
        <is>
          <t>23/01/2026</t>
        </is>
      </c>
      <c r="L16" s="50">
        <f>IF(K16&lt;&gt;"",K16-J16,TODAY()-DATE(MID(J16,7,4),MID(J16,4,2),LEFT(J16,2)))</f>
        <v/>
      </c>
      <c r="M16" s="51" t="inlineStr">
        <is>
          <t>APS Received</t>
        </is>
      </c>
      <c r="N16" s="56" t="n">
        <v>9</v>
      </c>
      <c r="O16" s="56" t="n">
        <v>6.7</v>
      </c>
      <c r="P16" s="56" t="inlineStr">
        <is>
          <t>B.Tech CS (Cyber Security)</t>
        </is>
      </c>
      <c r="Q16" s="56" t="inlineStr">
        <is>
          <t>Geethanjali College of Engg &amp; Tech</t>
        </is>
      </c>
      <c r="R16" s="56" t="inlineStr">
        <is>
          <t>Hyderabad</t>
        </is>
      </c>
      <c r="S16" s="56" t="inlineStr">
        <is>
          <t>JNTU Hyderabad</t>
        </is>
      </c>
      <c r="T16" s="56" t="n">
        <v>2025</v>
      </c>
      <c r="U16" s="56" t="inlineStr">
        <is>
          <t>6.7 CGPA</t>
        </is>
      </c>
      <c r="V16" s="56" t="inlineStr">
        <is>
          <t>cshead@gcet.edu.in</t>
        </is>
      </c>
      <c r="W16" s="56" t="inlineStr">
        <is>
          <t>Still Studying</t>
        </is>
      </c>
      <c r="X16" s="56" t="n"/>
      <c r="Y16" s="56" t="n"/>
      <c r="Z16" s="56" t="n"/>
      <c r="AA16" s="56" t="n"/>
      <c r="AB16" s="56" t="n"/>
      <c r="AC16" s="56" t="n"/>
    </row>
    <row r="17" ht="25" customFormat="1" customHeight="1" s="43">
      <c r="A17" s="47" t="n">
        <v>14</v>
      </c>
      <c r="B17" s="47" t="n">
        <v>339213</v>
      </c>
      <c r="C17" s="47" t="inlineStr">
        <is>
          <t>Rohit Masti</t>
        </is>
      </c>
      <c r="D17" s="48" t="inlineStr">
        <is>
          <t>rohitsmasti2003@gmail.com</t>
        </is>
      </c>
      <c r="E17" s="47" t="n"/>
      <c r="F17" s="47" t="inlineStr">
        <is>
          <t>Male</t>
        </is>
      </c>
      <c r="G17" s="47" t="inlineStr">
        <is>
          <t>13/07/2003</t>
        </is>
      </c>
      <c r="H17" s="47" t="inlineStr">
        <is>
          <t>AL723877</t>
        </is>
      </c>
      <c r="I17" s="47" t="inlineStr">
        <is>
          <t>9119443028</t>
        </is>
      </c>
      <c r="J17" s="47" t="inlineStr">
        <is>
          <t>03/02/2026</t>
        </is>
      </c>
      <c r="K17" s="49" t="inlineStr">
        <is>
          <t>23/02/2026</t>
        </is>
      </c>
      <c r="L17" s="50">
        <f>IF(K17&lt;&gt;"",K17-J17,TODAY()-DATE(MID(J17,7,4),MID(J17,4,2),LEFT(J17,2)))</f>
        <v/>
      </c>
      <c r="M17" s="51" t="inlineStr">
        <is>
          <t>APS Received</t>
        </is>
      </c>
      <c r="N17" s="52" t="n">
        <v>87.59999999999999</v>
      </c>
      <c r="O17" s="52" t="n">
        <v>86</v>
      </c>
      <c r="P17" s="52" t="inlineStr">
        <is>
          <t>B.Tech CS (AI-ML)</t>
        </is>
      </c>
      <c r="Q17" s="52" t="inlineStr">
        <is>
          <t>D.Y. Patil College of Engg, Kolhapur</t>
        </is>
      </c>
      <c r="R17" s="52" t="inlineStr">
        <is>
          <t>Kolhapur</t>
        </is>
      </c>
      <c r="S17" s="52" t="inlineStr">
        <is>
          <t>Shivaji University Kolhapur</t>
        </is>
      </c>
      <c r="T17" s="52" t="n">
        <v>2025</v>
      </c>
      <c r="U17" s="52" t="inlineStr">
        <is>
          <t>70.53% / 7.5 CGPA</t>
        </is>
      </c>
      <c r="V17" s="52" t="inlineStr">
        <is>
          <t>siddheshwarvpatil.dypcet@dypgroup.edu.in</t>
        </is>
      </c>
      <c r="W17" s="52" t="n"/>
      <c r="X17" s="52" t="n"/>
      <c r="Y17" s="52" t="n"/>
      <c r="Z17" s="52" t="n"/>
      <c r="AA17" s="52" t="n"/>
      <c r="AB17" s="52" t="n"/>
      <c r="AC17" s="52" t="n"/>
    </row>
    <row r="18" ht="25" customFormat="1" customHeight="1" s="43">
      <c r="A18" s="53" t="n">
        <v>15</v>
      </c>
      <c r="B18" s="53" t="n">
        <v>346379</v>
      </c>
      <c r="C18" s="53" t="inlineStr">
        <is>
          <t>Sachin D. Shingade</t>
        </is>
      </c>
      <c r="D18" s="54" t="inlineStr">
        <is>
          <t>shingadesachin6740@gmail.com</t>
        </is>
      </c>
      <c r="E18" s="53" t="n"/>
      <c r="F18" s="53" t="inlineStr">
        <is>
          <t>Male</t>
        </is>
      </c>
      <c r="G18" s="53" t="inlineStr">
        <is>
          <t>10/06/1988</t>
        </is>
      </c>
      <c r="H18" s="53" t="inlineStr">
        <is>
          <t>W9999537</t>
        </is>
      </c>
      <c r="I18" s="53" t="inlineStr">
        <is>
          <t>9011944866</t>
        </is>
      </c>
      <c r="J18" s="53" t="inlineStr">
        <is>
          <t>07/03/2026</t>
        </is>
      </c>
      <c r="K18" s="55" t="inlineStr">
        <is>
          <t>25/03/2026</t>
        </is>
      </c>
      <c r="L18" s="50">
        <f>IF(K18&lt;&gt;"",K18-J18,TODAY()-DATE(MID(J18,7,4),MID(J18,4,2),LEFT(J18,2)))</f>
        <v/>
      </c>
      <c r="M18" s="51" t="inlineStr">
        <is>
          <t>APS Received</t>
        </is>
      </c>
      <c r="N18" s="56" t="n">
        <v>85.73</v>
      </c>
      <c r="O18" s="56" t="n">
        <v>64</v>
      </c>
      <c r="P18" s="56" t="inlineStr">
        <is>
          <t>BE Electronics &amp; Telecom</t>
        </is>
      </c>
      <c r="Q18" s="56" t="inlineStr">
        <is>
          <t>Late N.B. Chhabada Inst of Engg</t>
        </is>
      </c>
      <c r="R18" s="56" t="inlineStr">
        <is>
          <t>Satara</t>
        </is>
      </c>
      <c r="S18" s="56" t="inlineStr">
        <is>
          <t>Shivaji University Kolhapur</t>
        </is>
      </c>
      <c r="T18" s="56" t="n">
        <v>2012</v>
      </c>
      <c r="U18" s="56" t="inlineStr">
        <is>
          <t>68.38%</t>
        </is>
      </c>
      <c r="V18" s="56" t="inlineStr">
        <is>
          <t>sfc@unishivaji.ac.in</t>
        </is>
      </c>
      <c r="W18" s="56" t="inlineStr">
        <is>
          <t>ME Electronics Digital Systems</t>
        </is>
      </c>
      <c r="X18" s="56" t="inlineStr">
        <is>
          <t>VPKBIET Baramati</t>
        </is>
      </c>
      <c r="Y18" s="56" t="inlineStr">
        <is>
          <t>Savitribai Phule Pune University</t>
        </is>
      </c>
      <c r="Z18" s="56" t="n">
        <v>2015</v>
      </c>
      <c r="AA18" s="56" t="inlineStr">
        <is>
          <t>7.7 CGPA</t>
        </is>
      </c>
      <c r="AB18" s="56" t="inlineStr">
        <is>
          <t>IELTS</t>
        </is>
      </c>
      <c r="AC18" s="56" t="inlineStr">
        <is>
          <t>6.0</t>
        </is>
      </c>
    </row>
    <row r="19" ht="25" customFormat="1" customHeight="1" s="43">
      <c r="A19" s="47" t="n">
        <v>16</v>
      </c>
      <c r="B19" s="47" t="n">
        <v>346561</v>
      </c>
      <c r="C19" s="47" t="inlineStr">
        <is>
          <t>Sheikh Nazir Hussain</t>
        </is>
      </c>
      <c r="D19" s="48" t="inlineStr">
        <is>
          <t>nayanhussain09@gmail.com</t>
        </is>
      </c>
      <c r="E19" s="47" t="n"/>
      <c r="F19" s="47" t="inlineStr">
        <is>
          <t>Male</t>
        </is>
      </c>
      <c r="G19" s="47" t="inlineStr">
        <is>
          <t>11/06/1991</t>
        </is>
      </c>
      <c r="H19" s="47" t="inlineStr">
        <is>
          <t>Y2923962</t>
        </is>
      </c>
      <c r="I19" s="47" t="inlineStr">
        <is>
          <t>9483138766</t>
        </is>
      </c>
      <c r="J19" s="47" t="inlineStr">
        <is>
          <t>07/03/2026</t>
        </is>
      </c>
      <c r="K19" s="49" t="inlineStr">
        <is>
          <t>21/04/2026</t>
        </is>
      </c>
      <c r="L19" s="50">
        <f>IF(K19&lt;&gt;"",K19-J19,TODAY()-DATE(MID(J19,7,4),MID(J19,4,2),LEFT(J19,2)))</f>
        <v/>
      </c>
      <c r="M19" s="51" t="inlineStr">
        <is>
          <t>APS Received</t>
        </is>
      </c>
      <c r="N19" s="52" t="n">
        <v>71.66</v>
      </c>
      <c r="O19" s="52" t="n">
        <v>58.67</v>
      </c>
      <c r="P19" s="52" t="inlineStr">
        <is>
          <t>BE Mechanical</t>
        </is>
      </c>
      <c r="Q19" s="52" t="inlineStr">
        <is>
          <t>R R Institute of Technology</t>
        </is>
      </c>
      <c r="R19" s="52" t="inlineStr">
        <is>
          <t>Bangalore</t>
        </is>
      </c>
      <c r="S19" s="52" t="inlineStr">
        <is>
          <t>Visvesvaraya Tech University</t>
        </is>
      </c>
      <c r="T19" s="52" t="n">
        <v>2014</v>
      </c>
      <c r="U19" s="52" t="inlineStr">
        <is>
          <t>61.03%</t>
        </is>
      </c>
      <c r="V19" s="52" t="inlineStr">
        <is>
          <t>contact@rrinstitutions.in</t>
        </is>
      </c>
      <c r="W19" s="52" t="n"/>
      <c r="X19" s="52" t="n"/>
      <c r="Y19" s="52" t="n"/>
      <c r="Z19" s="52" t="n"/>
      <c r="AA19" s="52" t="n"/>
      <c r="AB19" s="52" t="n"/>
      <c r="AC19" s="52" t="n"/>
    </row>
    <row r="20" ht="25" customFormat="1" customHeight="1" s="43">
      <c r="A20" s="53" t="n">
        <v>17</v>
      </c>
      <c r="B20" s="53" t="n">
        <v>353031</v>
      </c>
      <c r="C20" s="53" t="inlineStr">
        <is>
          <t>Sneha Jogi</t>
        </is>
      </c>
      <c r="D20" s="54" t="inlineStr">
        <is>
          <t>snehujogi@gmail.com</t>
        </is>
      </c>
      <c r="E20" s="53" t="n"/>
      <c r="F20" s="53" t="inlineStr">
        <is>
          <t>Female</t>
        </is>
      </c>
      <c r="G20" s="53" t="inlineStr">
        <is>
          <t>15/03/1991</t>
        </is>
      </c>
      <c r="H20" s="53" t="inlineStr">
        <is>
          <t>W1836387</t>
        </is>
      </c>
      <c r="I20" s="53" t="inlineStr">
        <is>
          <t>8401573867</t>
        </is>
      </c>
      <c r="J20" s="53" t="inlineStr">
        <is>
          <t>14/04/2026</t>
        </is>
      </c>
      <c r="K20" s="55" t="n"/>
      <c r="L20" s="50">
        <f>IF(K20&lt;&gt;"",K20-J20,TODAY()-DATE(MID(J20,7,4),MID(J20,4,2),LEFT(J20,2)))</f>
        <v/>
      </c>
      <c r="M20" s="51" t="inlineStr">
        <is>
          <t>Pending</t>
        </is>
      </c>
      <c r="N20" s="56" t="n">
        <v>74.43000000000001</v>
      </c>
      <c r="O20" s="56" t="n">
        <v>63.71</v>
      </c>
      <c r="P20" s="56" t="inlineStr">
        <is>
          <t>BCom</t>
        </is>
      </c>
      <c r="Q20" s="56" t="inlineStr">
        <is>
          <t>M.P. Shah Municipal Commerce College</t>
        </is>
      </c>
      <c r="R20" s="56" t="inlineStr">
        <is>
          <t>Jamnagar</t>
        </is>
      </c>
      <c r="S20" s="56" t="inlineStr">
        <is>
          <t>Saurashtra University</t>
        </is>
      </c>
      <c r="T20" s="56" t="n">
        <v>2011</v>
      </c>
      <c r="U20" s="56" t="inlineStr">
        <is>
          <t>59.77% / 5.9 CGPA</t>
        </is>
      </c>
      <c r="V20" s="56" t="inlineStr">
        <is>
          <t>info@mpsccjam.org</t>
        </is>
      </c>
      <c r="W20" s="56" t="inlineStr">
        <is>
          <t>MCom</t>
        </is>
      </c>
      <c r="X20" s="56" t="inlineStr">
        <is>
          <t>M.P. Shah Municipal Commerce College</t>
        </is>
      </c>
      <c r="Y20" s="56" t="inlineStr">
        <is>
          <t>Saurashtra University</t>
        </is>
      </c>
      <c r="Z20" s="56" t="n">
        <v>2013</v>
      </c>
      <c r="AA20" s="56" t="inlineStr">
        <is>
          <t>55.08% / 5.5 CGPA</t>
        </is>
      </c>
      <c r="AB20" s="56" t="n"/>
      <c r="AC20" s="56" t="n"/>
    </row>
    <row r="21" ht="25" customFormat="1" customHeight="1" s="43">
      <c r="A21" s="47" t="n">
        <v>18</v>
      </c>
      <c r="B21" s="47" t="n">
        <v>331954</v>
      </c>
      <c r="C21" s="47" t="inlineStr">
        <is>
          <t>Sujay Laxman H M</t>
        </is>
      </c>
      <c r="D21" s="48" t="inlineStr">
        <is>
          <t>sujay.laxman007@gmail.com</t>
        </is>
      </c>
      <c r="E21" s="47" t="n"/>
      <c r="F21" s="47" t="inlineStr">
        <is>
          <t>Male</t>
        </is>
      </c>
      <c r="G21" s="47" t="inlineStr">
        <is>
          <t>19/03/2003</t>
        </is>
      </c>
      <c r="H21" s="47" t="inlineStr">
        <is>
          <t>AH612160</t>
        </is>
      </c>
      <c r="I21" s="47" t="inlineStr">
        <is>
          <t>6362448954</t>
        </is>
      </c>
      <c r="J21" s="47" t="inlineStr">
        <is>
          <t>28/12/2025</t>
        </is>
      </c>
      <c r="K21" s="49" t="inlineStr">
        <is>
          <t>13/01/2026</t>
        </is>
      </c>
      <c r="L21" s="50">
        <f>IF(K21&lt;&gt;"",K21-J21,TODAY()-DATE(MID(J21,7,4),MID(J21,4,2),LEFT(J21,2)))</f>
        <v/>
      </c>
      <c r="M21" s="51" t="inlineStr">
        <is>
          <t>APS Received</t>
        </is>
      </c>
      <c r="N21" s="52" t="n">
        <v>68.2</v>
      </c>
      <c r="O21" s="52" t="n">
        <v>74.17</v>
      </c>
      <c r="P21" s="52" t="inlineStr">
        <is>
          <t>B.Tech Mechanical</t>
        </is>
      </c>
      <c r="Q21" s="52" t="inlineStr">
        <is>
          <t>School of Mechanical, Reva University</t>
        </is>
      </c>
      <c r="R21" s="52" t="inlineStr">
        <is>
          <t>Bangalore</t>
        </is>
      </c>
      <c r="S21" s="52" t="inlineStr">
        <is>
          <t>Reva University</t>
        </is>
      </c>
      <c r="T21" s="52" t="n">
        <v>2025</v>
      </c>
      <c r="U21" s="52" t="inlineStr">
        <is>
          <t>56.92% / 5.9 CGPA</t>
        </is>
      </c>
      <c r="V21" s="52" t="inlineStr">
        <is>
          <t>balajis@reva.edu.in</t>
        </is>
      </c>
      <c r="W21" s="52" t="n"/>
      <c r="X21" s="52" t="n"/>
      <c r="Y21" s="52" t="n"/>
      <c r="Z21" s="52" t="n"/>
      <c r="AA21" s="52" t="n"/>
      <c r="AB21" s="52" t="n"/>
      <c r="AC21" s="52" t="n"/>
    </row>
    <row r="22" ht="25" customFormat="1" customHeight="1" s="62">
      <c r="A22" s="53" t="n">
        <v>19</v>
      </c>
      <c r="B22" s="58" t="n">
        <v>335513</v>
      </c>
      <c r="C22" s="53" t="inlineStr">
        <is>
          <t>venuvardhan</t>
        </is>
      </c>
      <c r="D22" s="59" t="inlineStr">
        <is>
          <t>venuvardhan12@gmail.com</t>
        </is>
      </c>
      <c r="E22" s="58" t="n"/>
      <c r="F22" s="58" t="inlineStr">
        <is>
          <t>Male</t>
        </is>
      </c>
      <c r="G22" s="60" t="n">
        <v>35630</v>
      </c>
      <c r="H22" s="53" t="inlineStr">
        <is>
          <t>C6231371</t>
        </is>
      </c>
      <c r="I22" s="58" t="n">
        <v>6363791347</v>
      </c>
      <c r="J22" s="61" t="inlineStr">
        <is>
          <t>26/01/2026</t>
        </is>
      </c>
      <c r="K22" s="61" t="n"/>
      <c r="L22" s="50">
        <f>IF(K22&lt;&gt;"",K22-J22,TODAY()-DATE(MID(J22,7,4),MID(J22,4,2),LEFT(J22,2)))</f>
        <v/>
      </c>
      <c r="M22" s="51" t="inlineStr">
        <is>
          <t>Pending</t>
        </is>
      </c>
      <c r="N22" s="56" t="n">
        <v>36.8</v>
      </c>
      <c r="O22" s="56" t="n">
        <v>70.09</v>
      </c>
      <c r="P22" s="56" t="inlineStr">
        <is>
          <t>Diploma</t>
        </is>
      </c>
      <c r="Q22" s="56" t="inlineStr">
        <is>
          <t>Mewar University</t>
        </is>
      </c>
      <c r="R22" s="56" t="inlineStr">
        <is>
          <t>Bangalore</t>
        </is>
      </c>
      <c r="S22" s="56" t="inlineStr">
        <is>
          <t>Mewar University</t>
        </is>
      </c>
      <c r="T22" s="56" t="n">
        <v>2019</v>
      </c>
      <c r="U22" s="62" t="inlineStr">
        <is>
          <t>73.4/7.3</t>
        </is>
      </c>
      <c r="V22" s="63" t="inlineStr">
        <is>
          <t>amit_kumar@mewaruniversity.co.in</t>
        </is>
      </c>
    </row>
    <row r="23" ht="37.5" customFormat="1" customHeight="1" s="43">
      <c r="A23" s="58" t="n">
        <v>20</v>
      </c>
      <c r="B23" s="58" t="n">
        <v>346825</v>
      </c>
      <c r="C23" s="58" t="inlineStr">
        <is>
          <t>vaishnavi netke</t>
        </is>
      </c>
      <c r="D23" s="64" t="inlineStr">
        <is>
          <t>vaishnavinetke2806@gmail.com</t>
        </is>
      </c>
      <c r="E23" s="58" t="n"/>
      <c r="F23" s="58" t="inlineStr">
        <is>
          <t>Female</t>
        </is>
      </c>
      <c r="G23" s="60" t="n">
        <v>38166</v>
      </c>
      <c r="H23" s="58" t="inlineStr">
        <is>
          <t>X2594106</t>
        </is>
      </c>
      <c r="I23" s="58" t="n">
        <v>9969684420</v>
      </c>
      <c r="J23" s="61" t="inlineStr">
        <is>
          <t>11/03/2026</t>
        </is>
      </c>
      <c r="K23" s="61" t="inlineStr">
        <is>
          <t>24/03/2026</t>
        </is>
      </c>
      <c r="L23" s="50">
        <f>IF(K23&lt;&gt;"",K23-J23,TODAY()-DATE(MID(J23,7,4),MID(J23,4,2),LEFT(J23,2)))</f>
        <v/>
      </c>
      <c r="M23" s="51" t="inlineStr">
        <is>
          <t>APS Received</t>
        </is>
      </c>
      <c r="N23" s="62" t="n">
        <v>93</v>
      </c>
      <c r="O23" s="62" t="n">
        <v>89.8</v>
      </c>
      <c r="P23" s="62" t="inlineStr">
        <is>
          <t>Business Management Studies</t>
        </is>
      </c>
      <c r="Q23" s="62" t="inlineStr">
        <is>
          <t>Garware institute of career education and development</t>
        </is>
      </c>
      <c r="R23" s="62" t="inlineStr">
        <is>
          <t>Mumbai</t>
        </is>
      </c>
      <c r="S23" s="62" t="inlineStr">
        <is>
          <t>Mumbai University</t>
        </is>
      </c>
      <c r="T23" s="62" t="n">
        <v>2025</v>
      </c>
      <c r="U23" s="62" t="inlineStr">
        <is>
          <t>81.81/8.1</t>
        </is>
      </c>
      <c r="V23" s="65" t="inlineStr">
        <is>
          <t>suhas.worlikar@finxpert.org</t>
        </is>
      </c>
      <c r="W23" s="62" t="n"/>
      <c r="X23" s="62" t="n"/>
      <c r="Y23" s="62" t="n"/>
      <c r="Z23" s="62" t="n"/>
      <c r="AA23" s="62" t="n"/>
      <c r="AB23" s="62" t="n"/>
      <c r="AC23" s="62" t="n"/>
    </row>
    <row r="24" ht="28" customFormat="1" customHeight="1" s="43">
      <c r="A24" s="58" t="n">
        <v>21</v>
      </c>
      <c r="B24" s="58" t="n">
        <v>348798</v>
      </c>
      <c r="C24" s="58" t="inlineStr">
        <is>
          <t>Ajay Kumar</t>
        </is>
      </c>
      <c r="D24" s="64" t="inlineStr">
        <is>
          <t>haritajay20@gmail.com</t>
        </is>
      </c>
      <c r="E24" s="58" t="n"/>
      <c r="F24" s="58" t="inlineStr">
        <is>
          <t>Male</t>
        </is>
      </c>
      <c r="G24" s="60" t="n">
        <v>33162</v>
      </c>
      <c r="H24" s="58" t="inlineStr">
        <is>
          <t>C8658567</t>
        </is>
      </c>
      <c r="I24" s="58" t="n">
        <v>9896486961</v>
      </c>
      <c r="J24" s="61" t="inlineStr">
        <is>
          <t>10/03/2026</t>
        </is>
      </c>
      <c r="K24" s="61" t="n"/>
      <c r="L24" s="50">
        <f>IF(K24&lt;&gt;"",K24-J24,TODAY()-DATE(MID(J24,7,4),MID(J24,4,2),LEFT(J24,2)))</f>
        <v/>
      </c>
      <c r="M24" s="51" t="inlineStr">
        <is>
          <t>Pending</t>
        </is>
      </c>
      <c r="N24" s="62" t="n">
        <v>63</v>
      </c>
      <c r="O24" s="62" t="n">
        <v>66</v>
      </c>
      <c r="P24" s="62" t="inlineStr">
        <is>
          <t>BBA</t>
        </is>
      </c>
      <c r="Q24" s="62" t="inlineStr">
        <is>
          <t>RKSD College</t>
        </is>
      </c>
      <c r="R24" s="62" t="inlineStr">
        <is>
          <t>Kaithal</t>
        </is>
      </c>
      <c r="S24" s="62" t="inlineStr">
        <is>
          <t>Kurukshetra Univeristy</t>
        </is>
      </c>
      <c r="T24" s="62" t="n">
        <v>2013</v>
      </c>
      <c r="U24" s="62" t="n">
        <v>52.2</v>
      </c>
      <c r="V24" s="65" t="inlineStr">
        <is>
          <t>principal@rksdcollege.ac.in</t>
        </is>
      </c>
      <c r="W24" s="62" t="n"/>
      <c r="X24" s="62" t="n"/>
      <c r="Y24" s="62" t="n"/>
      <c r="Z24" s="62" t="n"/>
      <c r="AA24" s="62" t="n"/>
      <c r="AB24" s="62" t="n"/>
      <c r="AC24" s="62" t="n"/>
    </row>
    <row r="25" ht="28" customFormat="1" customHeight="1" s="43">
      <c r="A25" s="58" t="n">
        <v>22</v>
      </c>
      <c r="B25" s="58" t="n">
        <v>348343</v>
      </c>
      <c r="C25" s="58" t="inlineStr">
        <is>
          <t>Sahana Balaram</t>
        </is>
      </c>
      <c r="D25" s="64" t="inlineStr">
        <is>
          <t>sahanabalram07@gmail.com</t>
        </is>
      </c>
      <c r="E25" s="58" t="n"/>
      <c r="F25" s="58" t="inlineStr">
        <is>
          <t>Female</t>
        </is>
      </c>
      <c r="G25" s="60" t="n">
        <v>37820</v>
      </c>
      <c r="H25" s="58" t="inlineStr">
        <is>
          <t>AF519649</t>
        </is>
      </c>
      <c r="I25" s="58" t="n">
        <v>9480150070</v>
      </c>
      <c r="J25" s="61" t="inlineStr">
        <is>
          <t>16/03/2026</t>
        </is>
      </c>
      <c r="K25" s="61" t="inlineStr">
        <is>
          <t>16/04/2026</t>
        </is>
      </c>
      <c r="L25" s="50">
        <f>IF(K25&lt;&gt;"",K25-J25,TODAY()-DATE(MID(J25,7,4),MID(J25,4,2),LEFT(J25,2)))</f>
        <v/>
      </c>
      <c r="M25" s="51" t="inlineStr">
        <is>
          <t>APS Received</t>
        </is>
      </c>
      <c r="N25" s="62" t="n">
        <v>85</v>
      </c>
      <c r="O25" s="62" t="n">
        <v>91</v>
      </c>
      <c r="P25" s="62" t="inlineStr">
        <is>
          <t>B.Com</t>
        </is>
      </c>
      <c r="Q25" s="62" t="inlineStr">
        <is>
          <t>KLSE Societys Degree College</t>
        </is>
      </c>
      <c r="R25" s="62" t="inlineStr">
        <is>
          <t>Bangalore</t>
        </is>
      </c>
      <c r="S25" s="62" t="inlineStr">
        <is>
          <t>Bangalore University</t>
        </is>
      </c>
      <c r="T25" s="62" t="n">
        <v>2024</v>
      </c>
      <c r="U25" s="62" t="n">
        <v>8.5</v>
      </c>
      <c r="V25" s="62" t="inlineStr">
        <is>
          <t>madhan17anitha@gmail.com</t>
        </is>
      </c>
      <c r="W25" s="62" t="n"/>
      <c r="X25" s="62" t="n"/>
      <c r="Y25" s="62" t="n"/>
      <c r="Z25" s="62" t="n"/>
      <c r="AA25" s="62" t="n"/>
      <c r="AB25" s="62" t="n"/>
      <c r="AC25" s="62" t="n"/>
    </row>
    <row r="26" ht="25" customFormat="1" customHeight="1" s="43">
      <c r="A26" s="58" t="n">
        <v>23</v>
      </c>
      <c r="B26" s="66" t="n">
        <v>353970</v>
      </c>
      <c r="C26" s="58" t="inlineStr">
        <is>
          <t>Kriti Pallavi</t>
        </is>
      </c>
      <c r="D26" s="67" t="inlineStr">
        <is>
          <t>kriti.pallavi18@gmail.com</t>
        </is>
      </c>
      <c r="E26" s="58" t="n"/>
      <c r="F26" s="58" t="inlineStr">
        <is>
          <t>Female</t>
        </is>
      </c>
      <c r="G26" s="68" t="n">
        <v>34667</v>
      </c>
      <c r="H26" s="66" t="inlineStr">
        <is>
          <t>Z7183088</t>
        </is>
      </c>
      <c r="I26" s="66" t="n">
        <v>9717504682</v>
      </c>
      <c r="J26" s="61" t="inlineStr">
        <is>
          <t>21/04/2026</t>
        </is>
      </c>
      <c r="K26" s="61" t="n"/>
      <c r="L26" s="50">
        <f>IF(K26&lt;&gt;"",K26-J26,TODAY()-DATE(MID(J26,7,4),MID(J26,4,2),LEFT(J26,2)))</f>
        <v/>
      </c>
      <c r="M26" s="51" t="inlineStr">
        <is>
          <t>Pending</t>
        </is>
      </c>
      <c r="N26" s="62" t="n">
        <v>87.40000000000001</v>
      </c>
      <c r="O26" s="62" t="n">
        <v>84</v>
      </c>
      <c r="P26" s="62" t="inlineStr">
        <is>
          <t>BDS</t>
        </is>
      </c>
      <c r="Q26" s="62" t="inlineStr">
        <is>
          <t xml:space="preserve"> ITS Centre for Dental Studies and Research</t>
        </is>
      </c>
      <c r="R26" s="62" t="inlineStr">
        <is>
          <t>Merrut</t>
        </is>
      </c>
      <c r="S26" s="62" t="inlineStr">
        <is>
          <t>CCS University</t>
        </is>
      </c>
      <c r="T26" s="62" t="n">
        <v>2018</v>
      </c>
      <c r="U26" s="62" t="n">
        <v>70</v>
      </c>
      <c r="V26" s="62" t="inlineStr">
        <is>
          <t>drsaurabhjuneja@gmail.com</t>
        </is>
      </c>
      <c r="W26" s="62" t="n"/>
      <c r="X26" s="62" t="n"/>
      <c r="Y26" s="62" t="n"/>
      <c r="Z26" s="62" t="n"/>
      <c r="AA26" s="62" t="n"/>
      <c r="AB26" s="62" t="n"/>
      <c r="AC26" s="62" t="n"/>
    </row>
    <row r="27" ht="28" customFormat="1" customHeight="1" s="43">
      <c r="A27" s="58" t="n">
        <v>24</v>
      </c>
      <c r="B27" s="66" t="n">
        <v>353102</v>
      </c>
      <c r="C27" s="66" t="inlineStr">
        <is>
          <t>Sakina Panvelwala</t>
        </is>
      </c>
      <c r="D27" s="67" t="inlineStr">
        <is>
          <t>sakinapanvelwala.35@gmail.com</t>
        </is>
      </c>
      <c r="E27" s="58" t="n"/>
      <c r="F27" s="58" t="inlineStr">
        <is>
          <t>Female</t>
        </is>
      </c>
      <c r="G27" s="60" t="n">
        <v>37925</v>
      </c>
      <c r="H27" s="66" t="inlineStr">
        <is>
          <t>X7321975</t>
        </is>
      </c>
      <c r="I27" s="66" t="n">
        <v>9372426995</v>
      </c>
      <c r="J27" s="61" t="inlineStr">
        <is>
          <t>16/04/2026</t>
        </is>
      </c>
      <c r="K27" s="61" t="n"/>
      <c r="L27" s="50">
        <f>IF(K27&lt;&gt;"",K27-J27,TODAY()-DATE(MID(J27,7,4),MID(J27,4,2),LEFT(J27,2)))</f>
        <v/>
      </c>
      <c r="M27" s="51" t="inlineStr">
        <is>
          <t>Pending</t>
        </is>
      </c>
      <c r="N27" s="62" t="n">
        <v>9.1</v>
      </c>
      <c r="O27" s="62" t="n">
        <v>86.8</v>
      </c>
      <c r="P27" s="62" t="inlineStr">
        <is>
          <t>B.Com</t>
        </is>
      </c>
      <c r="Q27" s="43" t="inlineStr">
        <is>
          <t>SIES College of Arts, Science and Commerc</t>
        </is>
      </c>
      <c r="R27" s="62" t="inlineStr">
        <is>
          <t>Mumbai</t>
        </is>
      </c>
      <c r="S27" s="62" t="inlineStr">
        <is>
          <t>Mumbai University</t>
        </is>
      </c>
      <c r="T27" s="62" t="n">
        <v>2025</v>
      </c>
      <c r="U27" s="62" t="n">
        <v>9.1</v>
      </c>
      <c r="V27" s="62" t="inlineStr">
        <is>
          <t>bhumikam@sies.edu.in</t>
        </is>
      </c>
      <c r="W27" s="62" t="n"/>
      <c r="X27" s="62" t="n"/>
      <c r="Y27" s="62" t="n"/>
      <c r="Z27" s="62" t="n"/>
      <c r="AA27" s="62" t="n"/>
      <c r="AB27" s="62" t="n"/>
      <c r="AC27" s="62" t="n"/>
    </row>
    <row r="28" ht="25" customFormat="1" customHeight="1" s="43">
      <c r="A28" s="58" t="n">
        <v>25</v>
      </c>
      <c r="B28" s="58" t="n">
        <v>353465</v>
      </c>
      <c r="C28" s="66" t="inlineStr">
        <is>
          <t>Neeraj Singh</t>
        </is>
      </c>
      <c r="D28" s="67" t="inlineStr">
        <is>
          <t>neerajsingh14414@gmail.com</t>
        </is>
      </c>
      <c r="E28" s="58" t="n"/>
      <c r="F28" s="58" t="inlineStr">
        <is>
          <t>Male</t>
        </is>
      </c>
      <c r="G28" s="60" t="n">
        <v>37164</v>
      </c>
      <c r="H28" s="66" t="inlineStr">
        <is>
          <t>AL285783</t>
        </is>
      </c>
      <c r="I28" s="66" t="n">
        <v>7078335855</v>
      </c>
      <c r="J28" s="61" t="inlineStr">
        <is>
          <t>17/04/2026</t>
        </is>
      </c>
      <c r="K28" s="61" t="n"/>
      <c r="L28" s="50">
        <f>IF(K28&lt;&gt;"",K28-J28,TODAY()-DATE(MID(J28,7,4),MID(J28,4,2),LEFT(J28,2)))</f>
        <v/>
      </c>
      <c r="M28" s="51" t="inlineStr">
        <is>
          <t>Pending</t>
        </is>
      </c>
      <c r="N28" s="62" t="n">
        <v>70.2</v>
      </c>
      <c r="O28" s="62" t="n">
        <v>84.59999999999999</v>
      </c>
      <c r="P28" s="62" t="inlineStr">
        <is>
          <t>B.com</t>
        </is>
      </c>
      <c r="Q28" s="62" t="inlineStr">
        <is>
          <t>Atma Ram Sanatan Dharma College</t>
        </is>
      </c>
      <c r="R28" s="43" t="inlineStr">
        <is>
          <t>Delhi</t>
        </is>
      </c>
      <c r="S28" s="62" t="inlineStr">
        <is>
          <t>University of Delhi</t>
        </is>
      </c>
      <c r="T28" s="62" t="n">
        <v>2024</v>
      </c>
      <c r="U28" s="62" t="n">
        <v>5.6</v>
      </c>
      <c r="V28" s="62" t="inlineStr">
        <is>
          <t>knegi@arsd.du.ac.in</t>
        </is>
      </c>
      <c r="W28" s="62" t="n"/>
      <c r="X28" s="62" t="n"/>
      <c r="Y28" s="62" t="n"/>
      <c r="Z28" s="62" t="n"/>
      <c r="AA28" s="62" t="n"/>
      <c r="AB28" s="62" t="n"/>
      <c r="AC28" s="62" t="n"/>
    </row>
    <row r="29" ht="37.5" customFormat="1" customHeight="1" s="43">
      <c r="A29" s="58" t="n">
        <v>26</v>
      </c>
      <c r="B29" s="58" t="n">
        <v>354024</v>
      </c>
      <c r="C29" s="58" t="inlineStr">
        <is>
          <t>Amatul Haseeb Maseera</t>
        </is>
      </c>
      <c r="D29" s="67" t="inlineStr">
        <is>
          <t>haseebamatul143@gmail.com</t>
        </is>
      </c>
      <c r="E29" s="58" t="n"/>
      <c r="F29" s="58" t="inlineStr">
        <is>
          <t>Female</t>
        </is>
      </c>
      <c r="G29" s="60" t="n">
        <v>34600</v>
      </c>
      <c r="H29" s="58" t="inlineStr">
        <is>
          <t>T8372133</t>
        </is>
      </c>
      <c r="I29" s="58" t="n">
        <v>7396483035</v>
      </c>
      <c r="J29" s="61" t="inlineStr">
        <is>
          <t>21/04/2026</t>
        </is>
      </c>
      <c r="K29" s="61" t="n"/>
      <c r="L29" s="50">
        <f>IF(K29&lt;&gt;"",K29-J29,TODAY()-DATE(MID(J29,7,4),MID(J29,4,2),LEFT(J29,2)))</f>
        <v/>
      </c>
      <c r="M29" s="51" t="inlineStr">
        <is>
          <t>Pending</t>
        </is>
      </c>
      <c r="N29" s="62" t="n">
        <v>76.67</v>
      </c>
      <c r="O29" s="62" t="n">
        <v>81.59999999999999</v>
      </c>
      <c r="P29" s="62" t="inlineStr">
        <is>
          <t>Bachelors of Pharmecy</t>
        </is>
      </c>
      <c r="Q29" s="62" t="inlineStr">
        <is>
          <t>MRM College of Pharmecy</t>
        </is>
      </c>
      <c r="R29" s="43" t="inlineStr">
        <is>
          <t>Hyderabad</t>
        </is>
      </c>
      <c r="S29" s="62" t="inlineStr">
        <is>
          <t>Jawaharlal Nehru Technological University Hyderabad</t>
        </is>
      </c>
      <c r="T29" s="62" t="n">
        <v>2016</v>
      </c>
      <c r="U29" s="62" t="n">
        <v>72.7</v>
      </c>
      <c r="V29" s="62" t="n">
        <v>0</v>
      </c>
      <c r="W29" s="62" t="inlineStr">
        <is>
          <t>Post Baccalaureate of Pharmacy</t>
        </is>
      </c>
      <c r="X29" s="62" t="inlineStr">
        <is>
          <t>Osmania University Hyderabad</t>
        </is>
      </c>
      <c r="Y29" s="62" t="inlineStr">
        <is>
          <t>Osmania University Hyderabad</t>
        </is>
      </c>
      <c r="Z29" s="62" t="n">
        <v>2024</v>
      </c>
      <c r="AA29" s="62" t="n">
        <v>80.58</v>
      </c>
      <c r="AB29" s="62" t="n"/>
      <c r="AC29" s="62" t="n"/>
    </row>
    <row r="30" ht="28" customFormat="1" customHeight="1" s="43">
      <c r="A30" s="66" t="n">
        <v>27</v>
      </c>
      <c r="B30" s="66" t="n">
        <v>354195</v>
      </c>
      <c r="C30" s="66" t="inlineStr">
        <is>
          <t>Adithya Vincent Sindhu</t>
        </is>
      </c>
      <c r="D30" s="69" t="inlineStr">
        <is>
          <t>adithyasvincent5@gmail.com</t>
        </is>
      </c>
      <c r="E30" s="66" t="n"/>
      <c r="F30" s="66" t="inlineStr">
        <is>
          <t>Female</t>
        </is>
      </c>
      <c r="G30" s="68" t="n">
        <v>37506</v>
      </c>
      <c r="H30" s="66" t="inlineStr">
        <is>
          <t>AH539447</t>
        </is>
      </c>
      <c r="I30" s="66" t="n">
        <v>8848511618</v>
      </c>
      <c r="J30" s="70" t="inlineStr">
        <is>
          <t>24/04/2026</t>
        </is>
      </c>
      <c r="K30" s="70" t="n"/>
      <c r="L30" s="50">
        <f>IF(K30&lt;&gt;"",K30-J30,TODAY()-DATE(MID(J30,7,4),MID(J30,4,2),LEFT(J30,2)))</f>
        <v/>
      </c>
      <c r="M30" s="51" t="inlineStr">
        <is>
          <t>Pending</t>
        </is>
      </c>
      <c r="N30" s="43" t="n">
        <v>85</v>
      </c>
      <c r="O30" s="43" t="n">
        <v>67.5</v>
      </c>
      <c r="P30" s="43" t="inlineStr">
        <is>
          <t>Bachelor’s of vocational studies</t>
        </is>
      </c>
      <c r="Q30" s="43" t="inlineStr">
        <is>
          <t>ISDC</t>
        </is>
      </c>
      <c r="S30" s="43" t="inlineStr">
        <is>
          <t>Jain deemed to be university</t>
        </is>
      </c>
      <c r="T30" s="43" t="n">
        <v>2024</v>
      </c>
      <c r="U30" s="43" t="inlineStr">
        <is>
          <t>72.76/7.8</t>
        </is>
      </c>
      <c r="V30" s="43" t="inlineStr">
        <is>
          <t>enquiry@jainskills.com</t>
        </is>
      </c>
    </row>
    <row r="31" ht="42" customFormat="1" customHeight="1" s="43">
      <c r="A31" s="66" t="n">
        <v>28</v>
      </c>
      <c r="B31" s="66" t="n">
        <v>354471</v>
      </c>
      <c r="C31" s="66" t="inlineStr">
        <is>
          <t>Atharva Kumbhar</t>
        </is>
      </c>
      <c r="D31" s="69" t="inlineStr">
        <is>
          <t>atharvapkumbhar@gmail.com</t>
        </is>
      </c>
      <c r="E31" s="66" t="n"/>
      <c r="F31" s="66" t="inlineStr">
        <is>
          <t>Male</t>
        </is>
      </c>
      <c r="G31" s="68" t="n">
        <v>37880</v>
      </c>
      <c r="H31" s="66" t="inlineStr">
        <is>
          <t>AJ512651</t>
        </is>
      </c>
      <c r="I31" s="66" t="n">
        <v>7738396768</v>
      </c>
      <c r="J31" s="70" t="inlineStr">
        <is>
          <t>24/04/2026</t>
        </is>
      </c>
      <c r="K31" s="70" t="n"/>
      <c r="L31" s="50">
        <f>IF(K31&lt;&gt;"",K31-J31,TODAY()-DATE(MID(J31,7,4),MID(J31,4,2),LEFT(J31,2)))</f>
        <v/>
      </c>
      <c r="M31" s="51" t="inlineStr">
        <is>
          <t>Pending</t>
        </is>
      </c>
      <c r="N31" s="43" t="n">
        <v>76.8</v>
      </c>
      <c r="O31" s="43" t="n">
        <v>69.5</v>
      </c>
      <c r="P31" s="43" t="inlineStr">
        <is>
          <t>Bachelors in Management Studies</t>
        </is>
      </c>
      <c r="Q31" s="43" t="inlineStr">
        <is>
          <t>Ramsheth Thakur College of Science and Commerce</t>
        </is>
      </c>
      <c r="R31" s="43" t="inlineStr">
        <is>
          <t>Mumbai</t>
        </is>
      </c>
      <c r="S31" s="43" t="inlineStr">
        <is>
          <t>University of Mumbai</t>
        </is>
      </c>
      <c r="T31" s="43" t="n">
        <v>2024</v>
      </c>
      <c r="U31" s="43" t="n">
        <v>6.5</v>
      </c>
    </row>
    <row r="32" ht="42" customFormat="1" customHeight="1" s="43">
      <c r="A32" s="66" t="n">
        <v>29</v>
      </c>
      <c r="B32" s="66" t="n">
        <v>354375</v>
      </c>
      <c r="C32" s="66" t="inlineStr">
        <is>
          <t>Vanshika Gupta</t>
        </is>
      </c>
      <c r="D32" s="69" t="inlineStr">
        <is>
          <t>vanshikag2904@gmail.com</t>
        </is>
      </c>
      <c r="E32" s="66" t="n"/>
      <c r="F32" s="66" t="inlineStr">
        <is>
          <t>Female</t>
        </is>
      </c>
      <c r="G32" s="68" t="n">
        <v>36279</v>
      </c>
      <c r="H32" s="66" t="inlineStr">
        <is>
          <t>AR484959</t>
        </is>
      </c>
      <c r="I32" s="66" t="n">
        <v>8869886060</v>
      </c>
      <c r="J32" s="70" t="inlineStr">
        <is>
          <t>24/04/2026</t>
        </is>
      </c>
      <c r="K32" s="70" t="n"/>
      <c r="L32" s="50">
        <f>IF(K32&lt;&gt;"",K32-J32,TODAY()-DATE(MID(J32,7,4),MID(J32,4,2),LEFT(J32,2)))</f>
        <v/>
      </c>
      <c r="M32" s="51" t="inlineStr">
        <is>
          <t>Pending</t>
        </is>
      </c>
      <c r="N32" s="43" t="n">
        <v>5.6</v>
      </c>
      <c r="O32" s="43" t="n">
        <v>64.8</v>
      </c>
      <c r="P32" s="43" t="inlineStr">
        <is>
          <t>B.com</t>
        </is>
      </c>
      <c r="Q32" s="43" t="inlineStr">
        <is>
          <t>Hindu College, Moradabad</t>
        </is>
      </c>
      <c r="R32" s="43" t="inlineStr">
        <is>
          <t>Moradabad</t>
        </is>
      </c>
      <c r="S32" s="43" t="inlineStr">
        <is>
          <t>Mahatma Jyotiba Phule Rohilkhand University, Bareilly</t>
        </is>
      </c>
      <c r="T32" s="43" t="n">
        <v>2020</v>
      </c>
      <c r="U32" s="43" t="n">
        <v>54.7</v>
      </c>
    </row>
    <row r="33" ht="28" customFormat="1" customHeight="1" s="43">
      <c r="A33" s="66" t="n">
        <v>30</v>
      </c>
      <c r="B33" s="66" t="n">
        <v>156321</v>
      </c>
      <c r="C33" s="66" t="inlineStr">
        <is>
          <t>Apsara Aryal B</t>
        </is>
      </c>
      <c r="D33" s="69" t="inlineStr">
        <is>
          <t>apsaraaryal407@gmail.com</t>
        </is>
      </c>
      <c r="E33" s="66" t="n"/>
      <c r="F33" s="66" t="inlineStr">
        <is>
          <t>Female</t>
        </is>
      </c>
      <c r="G33" s="68" t="n">
        <v>37160</v>
      </c>
      <c r="H33" s="66" t="inlineStr">
        <is>
          <t>W4652152</t>
        </is>
      </c>
      <c r="I33" s="66" t="n">
        <v>9019972317</v>
      </c>
      <c r="J33" s="70" t="inlineStr">
        <is>
          <t>27/12/2023</t>
        </is>
      </c>
      <c r="K33" s="70" t="inlineStr">
        <is>
          <t>7/02/2024</t>
        </is>
      </c>
      <c r="L33" s="50">
        <f>IF(K33&lt;&gt;"",K33-J33,TODAY()-DATE(MID(J33,7,4),MID(J33,4,2),LEFT(J33,2)))</f>
        <v/>
      </c>
      <c r="M33" s="51" t="inlineStr">
        <is>
          <t>APS Received</t>
        </is>
      </c>
      <c r="N33" s="43" t="n">
        <v>77.44</v>
      </c>
      <c r="O33" s="43" t="n">
        <v>57.66</v>
      </c>
      <c r="P33" s="43" t="inlineStr">
        <is>
          <t>B.Com</t>
        </is>
      </c>
      <c r="Q33" s="43" t="inlineStr">
        <is>
          <t>Indian academy degree college</t>
        </is>
      </c>
      <c r="R33" s="43" t="inlineStr">
        <is>
          <t>Bangalore</t>
        </is>
      </c>
      <c r="S33" s="43" t="inlineStr">
        <is>
          <t>Bengaluru north university</t>
        </is>
      </c>
      <c r="T33" s="43" t="n">
        <v>2022</v>
      </c>
      <c r="U33" s="43" t="n">
        <v>7</v>
      </c>
      <c r="V33" s="43" t="inlineStr">
        <is>
          <t>principal@iadc.ac.in</t>
        </is>
      </c>
    </row>
    <row r="34" customFormat="1" s="43">
      <c r="A34" s="66" t="n">
        <v>31</v>
      </c>
      <c r="B34" s="66" t="n">
        <v>188013</v>
      </c>
      <c r="C34" s="66" t="inlineStr">
        <is>
          <t>Ramij Yeasin</t>
        </is>
      </c>
      <c r="D34" s="69" t="inlineStr">
        <is>
          <t>ramijyeasin@gmail.com</t>
        </is>
      </c>
      <c r="E34" s="66" t="n"/>
      <c r="F34" s="66" t="inlineStr">
        <is>
          <t>Male</t>
        </is>
      </c>
      <c r="G34" s="71" t="n">
        <v>36748</v>
      </c>
      <c r="H34" s="92" t="inlineStr">
        <is>
          <t>S7812343</t>
        </is>
      </c>
      <c r="I34" s="92" t="n">
        <v>7699734865</v>
      </c>
      <c r="J34" s="70" t="inlineStr">
        <is>
          <t>18/04/2023</t>
        </is>
      </c>
      <c r="K34" s="70" t="n"/>
      <c r="L34" s="50">
        <f>IF(K34&lt;&gt;"",K34-J34,TODAY()-DATE(MID(J34,7,4),MID(J34,4,2),LEFT(J34,2)))</f>
        <v/>
      </c>
      <c r="M34" s="51" t="inlineStr">
        <is>
          <t>Pending</t>
        </is>
      </c>
      <c r="N34" s="43" t="n">
        <v>49</v>
      </c>
      <c r="O34" s="43" t="n">
        <v>47</v>
      </c>
      <c r="P34" s="43" t="inlineStr">
        <is>
          <t>B.com</t>
        </is>
      </c>
      <c r="Q34" s="92" t="inlineStr">
        <is>
          <t>BERHAMPORE COLLEGE</t>
        </is>
      </c>
      <c r="R34" s="43" t="inlineStr">
        <is>
          <t>Kalyani</t>
        </is>
      </c>
      <c r="S34" s="92" t="inlineStr">
        <is>
          <t>UNIVERSITY OF KALYANI</t>
        </is>
      </c>
      <c r="T34" s="43" t="n">
        <v>2022</v>
      </c>
      <c r="U34" s="43" t="inlineStr">
        <is>
          <t>70.67/7.5</t>
        </is>
      </c>
    </row>
    <row r="35" ht="29" customFormat="1" customHeight="1" s="43">
      <c r="A35" s="66" t="n">
        <v>32</v>
      </c>
      <c r="B35" s="66" t="n">
        <v>211708</v>
      </c>
      <c r="C35" s="66" t="inlineStr">
        <is>
          <t>Nanda Hanumanth Bhille</t>
        </is>
      </c>
      <c r="D35" s="72" t="inlineStr">
        <is>
          <t>nanda.hb98@gmail.com</t>
        </is>
      </c>
      <c r="E35" s="66" t="n"/>
      <c r="F35" s="66" t="inlineStr">
        <is>
          <t>Female</t>
        </is>
      </c>
      <c r="G35" s="68" t="n">
        <v>401186</v>
      </c>
      <c r="H35" s="66" t="inlineStr">
        <is>
          <t>W8894689</t>
        </is>
      </c>
      <c r="I35" s="93" t="n">
        <v>8904689530</v>
      </c>
      <c r="J35" s="70" t="inlineStr">
        <is>
          <t>19-06-2024</t>
        </is>
      </c>
      <c r="K35" s="70" t="inlineStr">
        <is>
          <t>17-07-2024</t>
        </is>
      </c>
      <c r="L35" s="50">
        <f>IF(K35&lt;&gt;"",K35-J35,TODAY()-DATE(MID(J35,7,4),MID(J35,4,2),LEFT(J35,2)))</f>
        <v/>
      </c>
      <c r="M35" s="51" t="inlineStr">
        <is>
          <t>APS Received</t>
        </is>
      </c>
      <c r="N35" s="43" t="n">
        <v>76.31999999999999</v>
      </c>
      <c r="O35" s="43" t="n">
        <v>64</v>
      </c>
      <c r="P35" s="43" t="inlineStr">
        <is>
          <t>B.Tech</t>
        </is>
      </c>
      <c r="Q35" s="93" t="inlineStr">
        <is>
          <t>Visvesvaraya Technological University, Belagav</t>
        </is>
      </c>
      <c r="R35" s="43" t="inlineStr">
        <is>
          <t>Bangalore</t>
        </is>
      </c>
      <c r="S35" s="93" t="inlineStr">
        <is>
          <t>Dayananda Sagar Academy of Technology and Management</t>
        </is>
      </c>
      <c r="T35" s="43" t="n">
        <v>2020</v>
      </c>
      <c r="U35" s="43" t="n">
        <v>7.1</v>
      </c>
      <c r="V35" s="73" t="inlineStr">
        <is>
          <t>ashok-me@dsatm.edu.in</t>
        </is>
      </c>
    </row>
    <row r="36" ht="29" customFormat="1" customHeight="1" s="43">
      <c r="A36" s="66" t="n">
        <v>33</v>
      </c>
      <c r="B36" s="66" t="n">
        <v>287590</v>
      </c>
      <c r="C36" s="66" t="inlineStr">
        <is>
          <t>Suraj Damodaran</t>
        </is>
      </c>
      <c r="D36" s="72" t="inlineStr">
        <is>
          <t>surajdamodaran12@gmail.com</t>
        </is>
      </c>
      <c r="E36" s="66" t="n"/>
      <c r="F36" s="66" t="inlineStr">
        <is>
          <t>Male</t>
        </is>
      </c>
      <c r="G36" s="68" t="n">
        <v>44694</v>
      </c>
      <c r="H36" s="66" t="inlineStr">
        <is>
          <t>V3821113</t>
        </is>
      </c>
      <c r="I36" s="94" t="n">
        <v>8882630752</v>
      </c>
      <c r="J36" s="70" t="inlineStr">
        <is>
          <t>31/03/2025</t>
        </is>
      </c>
      <c r="K36" s="70" t="inlineStr">
        <is>
          <t>14/05/2025</t>
        </is>
      </c>
      <c r="L36" s="50">
        <f>IF(K36&lt;&gt;"",K36-J36,TODAY()-DATE(MID(J36,7,4),MID(J36,4,2),LEFT(J36,2)))</f>
        <v/>
      </c>
      <c r="M36" s="51" t="inlineStr">
        <is>
          <t>APS Received</t>
        </is>
      </c>
      <c r="N36" s="43" t="n">
        <v>79.59999999999999</v>
      </c>
      <c r="O36" s="43" t="n">
        <v>65.40000000000001</v>
      </c>
      <c r="P36" s="43" t="inlineStr">
        <is>
          <t>B.SC(HONS) Agriculture</t>
        </is>
      </c>
      <c r="Q36" s="43" t="inlineStr">
        <is>
          <t>Amity Institute of Organic Agriculture</t>
        </is>
      </c>
      <c r="R36" s="43" t="inlineStr">
        <is>
          <t>Noida</t>
        </is>
      </c>
      <c r="S36" s="43" t="inlineStr">
        <is>
          <t>Amity University</t>
        </is>
      </c>
      <c r="T36" s="43" t="n">
        <v>2024</v>
      </c>
      <c r="U36" s="43" t="n">
        <v>7.2</v>
      </c>
      <c r="V36" s="95" t="inlineStr">
        <is>
          <t>dsgaikwad@amity.edu</t>
        </is>
      </c>
    </row>
    <row r="37" ht="42" customFormat="1" customHeight="1" s="43">
      <c r="A37" s="66" t="n">
        <v>34</v>
      </c>
      <c r="B37" s="66" t="n">
        <v>270074</v>
      </c>
      <c r="C37" s="66" t="inlineStr">
        <is>
          <t>Laxmi Varshitha Reddy Thummeti</t>
        </is>
      </c>
      <c r="D37" s="74" t="inlineStr">
        <is>
          <t>thummetivarshithareddy0208@gmail.com</t>
        </is>
      </c>
      <c r="E37" s="66" t="n"/>
      <c r="F37" s="66" t="inlineStr">
        <is>
          <t>Female</t>
        </is>
      </c>
      <c r="G37" s="68" t="inlineStr">
        <is>
          <t>02/05/2003</t>
        </is>
      </c>
      <c r="H37" s="66" t="inlineStr">
        <is>
          <t>Y5312184</t>
        </is>
      </c>
      <c r="I37" s="66" t="inlineStr">
        <is>
          <t>6305549634</t>
        </is>
      </c>
      <c r="J37" s="70" t="inlineStr">
        <is>
          <t>20/01/2025</t>
        </is>
      </c>
      <c r="K37" s="70" t="inlineStr">
        <is>
          <t>28/02/2025</t>
        </is>
      </c>
      <c r="L37" s="50">
        <f>IF(K37&lt;&gt;"",K37-J37,TODAY()-DATE(MID(J37,7,4),MID(J37,4,2),LEFT(J37,2)))</f>
        <v/>
      </c>
      <c r="M37" s="51" t="inlineStr">
        <is>
          <t>APS Received</t>
        </is>
      </c>
      <c r="N37" s="43" t="n">
        <v>8.5</v>
      </c>
      <c r="O37" s="43" t="n">
        <v>88.09999999999999</v>
      </c>
      <c r="P37" s="43" t="inlineStr">
        <is>
          <t>B.Tech (ECE)</t>
        </is>
      </c>
      <c r="Q37" s="43" t="inlineStr">
        <is>
          <t>CMR College of Engineering &amp; Technology</t>
        </is>
      </c>
      <c r="R37" s="43" t="inlineStr">
        <is>
          <t>Hyderabad</t>
        </is>
      </c>
      <c r="S37" s="43" t="inlineStr">
        <is>
          <t>Jawaharlal Nehru Technological University Hyderabad</t>
        </is>
      </c>
      <c r="T37" s="43" t="n">
        <v>2024</v>
      </c>
      <c r="U37" s="43" t="inlineStr">
        <is>
          <t>8.6 CGPA</t>
        </is>
      </c>
      <c r="V37" s="96" t="inlineStr">
        <is>
          <t>20h51a0479@cmrcet.ac.in</t>
        </is>
      </c>
      <c r="AB37" s="43" t="inlineStr">
        <is>
          <t>TOEFL</t>
        </is>
      </c>
    </row>
    <row r="38" ht="29" customFormat="1" customHeight="1" s="43">
      <c r="A38" s="66" t="n">
        <v>35</v>
      </c>
      <c r="B38" s="66" t="n">
        <v>294557</v>
      </c>
      <c r="C38" s="66" t="inlineStr">
        <is>
          <t>Elangovan Sakthivel</t>
        </is>
      </c>
      <c r="D38" s="74" t="inlineStr">
        <is>
          <t>selangovan263@gmail.com</t>
        </is>
      </c>
      <c r="E38" s="66" t="n"/>
      <c r="F38" s="66" t="inlineStr">
        <is>
          <t>Male</t>
        </is>
      </c>
      <c r="G38" s="68" t="inlineStr">
        <is>
          <t>17/10/1996</t>
        </is>
      </c>
      <c r="H38" s="66" t="inlineStr">
        <is>
          <t>C8311240</t>
        </is>
      </c>
      <c r="I38" s="66" t="inlineStr">
        <is>
          <t>9500356731</t>
        </is>
      </c>
      <c r="J38" s="70" t="inlineStr">
        <is>
          <t>13/05/2025</t>
        </is>
      </c>
      <c r="K38" s="70" t="inlineStr">
        <is>
          <t>14/07/2025</t>
        </is>
      </c>
      <c r="L38" s="50">
        <f>IF(K38&lt;&gt;"",K38-J38,TODAY()-DATE(MID(J38,7,4),MID(J38,4,2),LEFT(J38,2)))</f>
        <v/>
      </c>
      <c r="M38" s="51" t="inlineStr">
        <is>
          <t>APS Received</t>
        </is>
      </c>
      <c r="N38" s="43" t="n">
        <v>81.40000000000001</v>
      </c>
      <c r="O38" s="43" t="n">
        <v>60.6</v>
      </c>
      <c r="P38" s="43" t="inlineStr">
        <is>
          <t>B.Sc (Information Technology)</t>
        </is>
      </c>
      <c r="Q38" s="43" t="inlineStr">
        <is>
          <t>Sri Krishna Arts and Science College</t>
        </is>
      </c>
      <c r="R38" s="43" t="inlineStr">
        <is>
          <t>Coimbatore</t>
        </is>
      </c>
      <c r="S38" s="43" t="inlineStr">
        <is>
          <t>Bharathiyar University</t>
        </is>
      </c>
      <c r="T38" s="43" t="n">
        <v>2017</v>
      </c>
      <c r="U38" s="43" t="inlineStr">
        <is>
          <t>53.7% / 5.2 CGPA</t>
        </is>
      </c>
      <c r="V38" s="96" t="inlineStr">
        <is>
          <t>principal@skasc.ac.in</t>
        </is>
      </c>
      <c r="AB38" s="43" t="inlineStr">
        <is>
          <t>IELTS</t>
        </is>
      </c>
    </row>
    <row r="39" ht="29" customFormat="1" customHeight="1" s="43">
      <c r="A39" s="66" t="n">
        <v>36</v>
      </c>
      <c r="B39" s="66" t="n">
        <v>296978</v>
      </c>
      <c r="C39" s="66" t="inlineStr">
        <is>
          <t>Melwin Paul</t>
        </is>
      </c>
      <c r="D39" s="74" t="inlineStr">
        <is>
          <t>melwinpaul2002@gmail.com</t>
        </is>
      </c>
      <c r="E39" s="66" t="n"/>
      <c r="F39" s="66" t="inlineStr">
        <is>
          <t>Male</t>
        </is>
      </c>
      <c r="G39" s="68" t="inlineStr">
        <is>
          <t>10/05/2002</t>
        </is>
      </c>
      <c r="H39" s="66" t="inlineStr">
        <is>
          <t>V6369952</t>
        </is>
      </c>
      <c r="I39" s="66" t="inlineStr">
        <is>
          <t>06201295031</t>
        </is>
      </c>
      <c r="J39" s="70" t="inlineStr">
        <is>
          <t>22/05/2025</t>
        </is>
      </c>
      <c r="K39" s="70" t="inlineStr">
        <is>
          <t>16/06/2025</t>
        </is>
      </c>
      <c r="L39" s="50">
        <f>IF(K39&lt;&gt;"",K39-J39,TODAY()-DATE(MID(J39,7,4),MID(J39,4,2),LEFT(J39,2)))</f>
        <v/>
      </c>
      <c r="M39" s="51" t="inlineStr">
        <is>
          <t>APS Received</t>
        </is>
      </c>
      <c r="N39" s="43" t="n">
        <v>77.8</v>
      </c>
      <c r="O39" s="43" t="n">
        <v>83.5</v>
      </c>
      <c r="P39" s="43" t="inlineStr">
        <is>
          <t>B.Com (Honors)</t>
        </is>
      </c>
      <c r="Q39" s="43" t="inlineStr">
        <is>
          <t>X.I.T.E. Gamharia</t>
        </is>
      </c>
      <c r="R39" s="43" t="inlineStr">
        <is>
          <t>Jamshedpur</t>
        </is>
      </c>
      <c r="S39" s="43" t="inlineStr">
        <is>
          <t>Kolhan University</t>
        </is>
      </c>
      <c r="T39" s="43" t="n">
        <v>2024</v>
      </c>
      <c r="U39" s="43" t="inlineStr">
        <is>
          <t>71.21% / 7.7 CGPA</t>
        </is>
      </c>
      <c r="V39" s="96" t="inlineStr">
        <is>
          <t>info@xite.ac.in</t>
        </is>
      </c>
      <c r="AB39" s="43" t="inlineStr">
        <is>
          <t>IELTS</t>
        </is>
      </c>
    </row>
    <row r="40" ht="29" customFormat="1" customHeight="1" s="43">
      <c r="A40" s="66" t="n">
        <v>37</v>
      </c>
      <c r="B40" s="66" t="n">
        <v>293262</v>
      </c>
      <c r="C40" s="66" t="inlineStr">
        <is>
          <t>Vamsy Appalla</t>
        </is>
      </c>
      <c r="D40" s="74" t="inlineStr">
        <is>
          <t>vamsy.appalla@gmail.com</t>
        </is>
      </c>
      <c r="E40" s="66" t="n"/>
      <c r="F40" s="66" t="inlineStr">
        <is>
          <t>Male</t>
        </is>
      </c>
      <c r="G40" s="68" t="inlineStr">
        <is>
          <t>27/12/2001</t>
        </is>
      </c>
      <c r="H40" s="66" t="inlineStr">
        <is>
          <t>C8410793</t>
        </is>
      </c>
      <c r="I40" s="66" t="inlineStr">
        <is>
          <t>9100184777</t>
        </is>
      </c>
      <c r="J40" s="70" t="inlineStr">
        <is>
          <t>29/04/2025</t>
        </is>
      </c>
      <c r="K40" s="70" t="inlineStr">
        <is>
          <t>24/06/2025</t>
        </is>
      </c>
      <c r="L40" s="50">
        <f>IF(K40&lt;&gt;"",K40-J40,TODAY()-DATE(MID(J40,7,4),MID(J40,4,2),LEFT(J40,2)))</f>
        <v/>
      </c>
      <c r="M40" s="51" t="inlineStr">
        <is>
          <t>APS Received</t>
        </is>
      </c>
      <c r="N40" s="43" t="n">
        <v>73</v>
      </c>
      <c r="O40" s="43" t="n">
        <v>65.40000000000001</v>
      </c>
      <c r="P40" s="43" t="inlineStr">
        <is>
          <t>BBA (Marketing)</t>
        </is>
      </c>
      <c r="Q40" s="43" t="inlineStr">
        <is>
          <t>Amity University</t>
        </is>
      </c>
      <c r="R40" s="43" t="inlineStr">
        <is>
          <t>Hyderabad</t>
        </is>
      </c>
      <c r="S40" s="43" t="inlineStr">
        <is>
          <t>Amity University</t>
        </is>
      </c>
      <c r="T40" s="43" t="n">
        <v>2024</v>
      </c>
      <c r="U40" s="43" t="inlineStr">
        <is>
          <t>93.5% / 9.3 CGPA</t>
        </is>
      </c>
      <c r="V40" s="96" t="inlineStr">
        <is>
          <t>admissions@amity.edu</t>
        </is>
      </c>
      <c r="AB40" s="43" t="inlineStr">
        <is>
          <t>IELTS</t>
        </is>
      </c>
    </row>
    <row r="41" ht="29" customFormat="1" customHeight="1" s="43">
      <c r="A41" s="66" t="n">
        <v>38</v>
      </c>
      <c r="B41" s="66" t="n">
        <v>283242</v>
      </c>
      <c r="C41" s="66" t="inlineStr">
        <is>
          <t>Dachepalli Vinay Kumar</t>
        </is>
      </c>
      <c r="D41" s="74" t="inlineStr">
        <is>
          <t>vinaykumard95@gmail.com</t>
        </is>
      </c>
      <c r="E41" s="66" t="n"/>
      <c r="F41" s="66" t="inlineStr">
        <is>
          <t>Male</t>
        </is>
      </c>
      <c r="G41" s="68" t="inlineStr">
        <is>
          <t>04/06/1995</t>
        </is>
      </c>
      <c r="H41" s="66" t="inlineStr">
        <is>
          <t>C8518593</t>
        </is>
      </c>
      <c r="I41" s="66" t="inlineStr">
        <is>
          <t>9182263309</t>
        </is>
      </c>
      <c r="J41" s="70" t="inlineStr">
        <is>
          <t>12/03/2025</t>
        </is>
      </c>
      <c r="K41" s="70" t="inlineStr">
        <is>
          <t>5/5/2025</t>
        </is>
      </c>
      <c r="L41" s="50">
        <f>IF(K41&lt;&gt;"",K41-J41,TODAY()-DATE(MID(J41,7,4),MID(J41,4,2),LEFT(J41,2)))</f>
        <v/>
      </c>
      <c r="M41" s="51" t="inlineStr">
        <is>
          <t>APS Received</t>
        </is>
      </c>
      <c r="N41" s="43" t="n">
        <v>86</v>
      </c>
      <c r="O41" s="43" t="n">
        <v>90.90000000000001</v>
      </c>
      <c r="P41" s="43" t="inlineStr">
        <is>
          <t>B.Com (Computers)</t>
        </is>
      </c>
      <c r="Q41" s="43" t="inlineStr">
        <is>
          <t>Masters Degree College</t>
        </is>
      </c>
      <c r="R41" s="43" t="inlineStr">
        <is>
          <t>Jogipet</t>
        </is>
      </c>
      <c r="S41" s="43" t="inlineStr">
        <is>
          <t>Osmania University</t>
        </is>
      </c>
      <c r="T41" s="43" t="n">
        <v>2015</v>
      </c>
      <c r="U41" s="43" t="inlineStr">
        <is>
          <t>82%</t>
        </is>
      </c>
      <c r="V41" s="96" t="n"/>
      <c r="AB41" s="43" t="inlineStr">
        <is>
          <t>IELTS</t>
        </is>
      </c>
    </row>
    <row r="42" ht="29" customFormat="1" customHeight="1" s="43">
      <c r="A42" s="66" t="n">
        <v>39</v>
      </c>
      <c r="B42" s="66" t="n">
        <v>300671</v>
      </c>
      <c r="C42" s="66" t="inlineStr">
        <is>
          <t>Pranjal Wankhade</t>
        </is>
      </c>
      <c r="D42" s="74" t="inlineStr">
        <is>
          <t>pranjalpbw@gmail.com</t>
        </is>
      </c>
      <c r="E42" s="66" t="n"/>
      <c r="F42" s="66" t="inlineStr">
        <is>
          <t>Female</t>
        </is>
      </c>
      <c r="G42" s="68" t="inlineStr">
        <is>
          <t>04/03/2004</t>
        </is>
      </c>
      <c r="H42" s="66" t="inlineStr">
        <is>
          <t>V4462398</t>
        </is>
      </c>
      <c r="I42" s="66" t="inlineStr">
        <is>
          <t>08446445036</t>
        </is>
      </c>
      <c r="J42" s="70" t="inlineStr">
        <is>
          <t>12/06/2025</t>
        </is>
      </c>
      <c r="K42" s="70" t="inlineStr">
        <is>
          <t>8/07/2025</t>
        </is>
      </c>
      <c r="L42" s="50">
        <f>IF(K42&lt;&gt;"",K42-J42,TODAY()-DATE(MID(J42,7,4),MID(J42,4,2),LEFT(J42,2)))</f>
        <v/>
      </c>
      <c r="M42" s="51" t="inlineStr">
        <is>
          <t>APS Received</t>
        </is>
      </c>
      <c r="N42" s="43" t="n">
        <v>67.2</v>
      </c>
      <c r="O42" s="43" t="n">
        <v>75.5</v>
      </c>
      <c r="P42" s="43" t="inlineStr">
        <is>
          <t>BBA (International Business)</t>
        </is>
      </c>
      <c r="Q42" s="43" t="inlineStr">
        <is>
          <t>MIT ACSC</t>
        </is>
      </c>
      <c r="R42" s="43" t="inlineStr">
        <is>
          <t>Pune</t>
        </is>
      </c>
      <c r="S42" s="43" t="inlineStr">
        <is>
          <t>Savitribai Phule Pune University</t>
        </is>
      </c>
      <c r="T42" s="43" t="n">
        <v>2025</v>
      </c>
      <c r="U42" s="43" t="inlineStr">
        <is>
          <t>8.3 CGPA</t>
        </is>
      </c>
      <c r="V42" s="96" t="inlineStr">
        <is>
          <t>hodbba@mitacsc.ac.in</t>
        </is>
      </c>
    </row>
    <row r="43" ht="29" customFormat="1" customHeight="1" s="43">
      <c r="A43" s="66" t="n">
        <v>40</v>
      </c>
      <c r="B43" s="66" t="n">
        <v>283135</v>
      </c>
      <c r="C43" s="66" t="inlineStr">
        <is>
          <t>Prateek Solanki</t>
        </is>
      </c>
      <c r="D43" s="74" t="inlineStr">
        <is>
          <t>prateeksolanki1997@gmail.com</t>
        </is>
      </c>
      <c r="E43" s="66" t="n"/>
      <c r="F43" s="66" t="inlineStr">
        <is>
          <t>Male</t>
        </is>
      </c>
      <c r="G43" s="68" t="inlineStr">
        <is>
          <t>05/07/1997</t>
        </is>
      </c>
      <c r="H43" s="66" t="inlineStr">
        <is>
          <t>T9047124</t>
        </is>
      </c>
      <c r="I43" s="66" t="inlineStr">
        <is>
          <t>9811807328</t>
        </is>
      </c>
      <c r="J43" s="70" t="inlineStr">
        <is>
          <t>11/03/2025</t>
        </is>
      </c>
      <c r="K43" s="70" t="inlineStr">
        <is>
          <t>2/07/2025</t>
        </is>
      </c>
      <c r="L43" s="50">
        <f>IF(K43&lt;&gt;"",K43-J43,TODAY()-DATE(MID(J43,7,4),MID(J43,4,2),LEFT(J43,2)))</f>
        <v/>
      </c>
      <c r="M43" s="51" t="inlineStr">
        <is>
          <t>APS Received</t>
        </is>
      </c>
      <c r="N43" s="43" t="n">
        <v>64.59999999999999</v>
      </c>
      <c r="O43" s="43" t="n">
        <v>67.2</v>
      </c>
      <c r="P43" s="43" t="inlineStr">
        <is>
          <t>B.Tech (CSE)</t>
        </is>
      </c>
      <c r="Q43" s="43" t="inlineStr">
        <is>
          <t>SRM University</t>
        </is>
      </c>
      <c r="R43" s="43" t="inlineStr">
        <is>
          <t>Delhi</t>
        </is>
      </c>
      <c r="S43" s="43" t="inlineStr">
        <is>
          <t>SRM University</t>
        </is>
      </c>
      <c r="T43" s="43" t="n">
        <v>2020</v>
      </c>
      <c r="U43" s="43" t="inlineStr">
        <is>
          <t>62.32% / 6.6 CGPA</t>
        </is>
      </c>
      <c r="V43" s="96" t="inlineStr">
        <is>
          <t>examcellsrmh@srmuniversity.ac.in</t>
        </is>
      </c>
      <c r="AB43" s="43" t="inlineStr">
        <is>
          <t>IELTS</t>
        </is>
      </c>
    </row>
    <row r="44" ht="29" customFormat="1" customHeight="1" s="43">
      <c r="A44" s="66" t="n">
        <v>41</v>
      </c>
      <c r="B44" s="66" t="n">
        <v>286887</v>
      </c>
      <c r="C44" s="66" t="inlineStr">
        <is>
          <t>Sai Charan Karanam Murali</t>
        </is>
      </c>
      <c r="D44" s="74" t="inlineStr">
        <is>
          <t>karanammuralisaicharan@gmail.com</t>
        </is>
      </c>
      <c r="E44" s="66" t="n"/>
      <c r="F44" s="66" t="inlineStr">
        <is>
          <t>Male</t>
        </is>
      </c>
      <c r="G44" s="68" t="inlineStr">
        <is>
          <t>23/05/2001</t>
        </is>
      </c>
      <c r="H44" s="66" t="inlineStr">
        <is>
          <t>X6948124</t>
        </is>
      </c>
      <c r="I44" s="66" t="inlineStr">
        <is>
          <t>7899648798</t>
        </is>
      </c>
      <c r="J44" s="70" t="inlineStr">
        <is>
          <t>27/03/2025</t>
        </is>
      </c>
      <c r="K44" s="70" t="inlineStr">
        <is>
          <t>16/05/2025</t>
        </is>
      </c>
      <c r="L44" s="50">
        <f>IF(K44&lt;&gt;"",K44-J44,TODAY()-DATE(MID(J44,7,4),MID(J44,4,2),LEFT(J44,2)))</f>
        <v/>
      </c>
      <c r="M44" s="51" t="inlineStr">
        <is>
          <t>APS Received</t>
        </is>
      </c>
      <c r="N44" s="43" t="n">
        <v>95</v>
      </c>
      <c r="O44" s="43" t="n">
        <v>80.5</v>
      </c>
      <c r="P44" s="43" t="inlineStr">
        <is>
          <t>B.Tech (CSE)</t>
        </is>
      </c>
      <c r="Q44" s="43" t="inlineStr">
        <is>
          <t>Amrita School of Engineering</t>
        </is>
      </c>
      <c r="R44" s="43" t="inlineStr">
        <is>
          <t>Bangalore</t>
        </is>
      </c>
      <c r="S44" s="43" t="inlineStr">
        <is>
          <t>Amrita Vishwa Vidyapeetham</t>
        </is>
      </c>
      <c r="T44" s="43" t="n">
        <v>2024</v>
      </c>
      <c r="U44" s="43" t="inlineStr">
        <is>
          <t>6.6 CGPA</t>
        </is>
      </c>
      <c r="V44" s="96" t="inlineStr">
        <is>
          <t>s_ullas@blr.amrita.edu</t>
        </is>
      </c>
      <c r="AB44" s="43" t="inlineStr">
        <is>
          <t>IELTS</t>
        </is>
      </c>
    </row>
    <row r="45" ht="29" customFormat="1" customHeight="1" s="43">
      <c r="A45" s="66" t="n">
        <v>42</v>
      </c>
      <c r="B45" s="66" t="n">
        <v>288983</v>
      </c>
      <c r="C45" s="66" t="inlineStr">
        <is>
          <t>Francis Annie Docilin Giles</t>
        </is>
      </c>
      <c r="D45" s="74" t="inlineStr">
        <is>
          <t>anniedocilin@gmail.com</t>
        </is>
      </c>
      <c r="E45" s="66" t="n"/>
      <c r="F45" s="66" t="inlineStr">
        <is>
          <t>Female</t>
        </is>
      </c>
      <c r="G45" s="68" t="inlineStr">
        <is>
          <t>17/04/2001</t>
        </is>
      </c>
      <c r="H45" s="66" t="inlineStr">
        <is>
          <t>W4601606</t>
        </is>
      </c>
      <c r="I45" s="66" t="inlineStr">
        <is>
          <t>9790414214</t>
        </is>
      </c>
      <c r="J45" s="70" t="inlineStr">
        <is>
          <t>07/04/2025</t>
        </is>
      </c>
      <c r="K45" s="70" t="inlineStr">
        <is>
          <t>19/05/2025</t>
        </is>
      </c>
      <c r="L45" s="50">
        <f>IF(K45&lt;&gt;"",K45-J45,TODAY()-DATE(MID(J45,7,4),MID(J45,4,2),LEFT(J45,2)))</f>
        <v/>
      </c>
      <c r="M45" s="51" t="inlineStr">
        <is>
          <t>APS Received</t>
        </is>
      </c>
      <c r="N45" s="43" t="n">
        <v>90</v>
      </c>
      <c r="O45" s="43" t="n">
        <v>71.83</v>
      </c>
      <c r="P45" s="43" t="inlineStr">
        <is>
          <t>B.Com (Corporate Secretaryship)</t>
        </is>
      </c>
      <c r="Q45" s="43" t="inlineStr">
        <is>
          <t>Stella Maris College</t>
        </is>
      </c>
      <c r="R45" s="43" t="inlineStr">
        <is>
          <t>Thoothukudi</t>
        </is>
      </c>
      <c r="S45" s="43" t="inlineStr">
        <is>
          <t>University of Madras</t>
        </is>
      </c>
      <c r="T45" s="43" t="n">
        <v>2022</v>
      </c>
      <c r="U45" s="43" t="inlineStr">
        <is>
          <t>63.2% / 6.3 CGPA</t>
        </is>
      </c>
      <c r="V45" s="96" t="inlineStr">
        <is>
          <t>mofika@stellamariscollege.edu.in</t>
        </is>
      </c>
      <c r="AB45" s="43" t="inlineStr">
        <is>
          <t>IELTS</t>
        </is>
      </c>
    </row>
    <row r="46" ht="29" customFormat="1" customHeight="1" s="43">
      <c r="A46" s="66" t="n">
        <v>43</v>
      </c>
      <c r="B46" s="66" t="n">
        <v>298867</v>
      </c>
      <c r="C46" s="66" t="inlineStr">
        <is>
          <t>Anjali Shinde</t>
        </is>
      </c>
      <c r="D46" s="74" t="inlineStr">
        <is>
          <t>anjali.shinde1772002@gmail.com</t>
        </is>
      </c>
      <c r="E46" s="66" t="n"/>
      <c r="F46" s="66" t="inlineStr">
        <is>
          <t>Female</t>
        </is>
      </c>
      <c r="G46" s="68" t="inlineStr">
        <is>
          <t>17/07/2002</t>
        </is>
      </c>
      <c r="H46" s="66" t="inlineStr">
        <is>
          <t>C9468554</t>
        </is>
      </c>
      <c r="I46" s="66" t="inlineStr">
        <is>
          <t>8928331613</t>
        </is>
      </c>
      <c r="J46" s="70" t="inlineStr">
        <is>
          <t>03/06/2025</t>
        </is>
      </c>
      <c r="K46" s="70" t="n"/>
      <c r="L46" s="50">
        <f>IF(K46&lt;&gt;"",K46-J46,TODAY()-DATE(MID(J46,7,4),MID(J46,4,2),LEFT(J46,2)))</f>
        <v/>
      </c>
      <c r="M46" s="51" t="inlineStr">
        <is>
          <t>Pending</t>
        </is>
      </c>
      <c r="N46" s="43" t="n">
        <v>74.8</v>
      </c>
      <c r="O46" s="43" t="n">
        <v>61.85</v>
      </c>
      <c r="P46" s="43" t="inlineStr">
        <is>
          <t>B.Com</t>
        </is>
      </c>
      <c r="Q46" s="43" t="inlineStr">
        <is>
          <t>M. L. Dahanukar College of Commerce</t>
        </is>
      </c>
      <c r="R46" s="43" t="inlineStr">
        <is>
          <t>Mumbai</t>
        </is>
      </c>
      <c r="S46" s="43" t="inlineStr">
        <is>
          <t>University of Mumbai</t>
        </is>
      </c>
      <c r="T46" s="43" t="n">
        <v>2024</v>
      </c>
      <c r="U46" s="43" t="inlineStr">
        <is>
          <t>60% / 7.0 CGPA</t>
        </is>
      </c>
      <c r="V46" s="96" t="inlineStr">
        <is>
          <t>anjali.shinde@mldc.edu.in</t>
        </is>
      </c>
    </row>
    <row r="47" ht="42" customFormat="1" customHeight="1" s="43">
      <c r="A47" s="66" t="n">
        <v>44</v>
      </c>
      <c r="B47" s="66" t="n">
        <v>292528</v>
      </c>
      <c r="C47" s="66" t="inlineStr">
        <is>
          <t>Mousin Khan Mohammed</t>
        </is>
      </c>
      <c r="D47" s="74" t="inlineStr">
        <is>
          <t>mrmousin31@gmail.com</t>
        </is>
      </c>
      <c r="E47" s="66" t="n"/>
      <c r="F47" s="66" t="inlineStr">
        <is>
          <t>Male</t>
        </is>
      </c>
      <c r="G47" s="68" t="inlineStr">
        <is>
          <t>31/07/1999</t>
        </is>
      </c>
      <c r="H47" s="66" t="inlineStr">
        <is>
          <t>C2027594</t>
        </is>
      </c>
      <c r="I47" s="66" t="inlineStr">
        <is>
          <t>8328391050</t>
        </is>
      </c>
      <c r="J47" s="70" t="inlineStr">
        <is>
          <t>24/04/2025</t>
        </is>
      </c>
      <c r="K47" s="70" t="inlineStr">
        <is>
          <t>18/06/2025</t>
        </is>
      </c>
      <c r="L47" s="50">
        <f>IF(K47&lt;&gt;"",K47-J47,TODAY()-DATE(MID(J47,7,4),MID(J47,4,2),LEFT(J47,2)))</f>
        <v/>
      </c>
      <c r="M47" s="51" t="inlineStr">
        <is>
          <t>APS Received</t>
        </is>
      </c>
      <c r="N47" s="43" t="n">
        <v>76</v>
      </c>
      <c r="O47" s="43" t="n">
        <v>64.09999999999999</v>
      </c>
      <c r="P47" s="43" t="inlineStr">
        <is>
          <t>B.Tech (CSE)</t>
        </is>
      </c>
      <c r="Q47" s="43" t="inlineStr">
        <is>
          <t>Vivekananda Institute of Technology and Science</t>
        </is>
      </c>
      <c r="R47" s="43" t="inlineStr">
        <is>
          <t>Hyderabad</t>
        </is>
      </c>
      <c r="S47" s="43" t="inlineStr">
        <is>
          <t>Jawaharlal Nehru Technological University Hyderabad</t>
        </is>
      </c>
      <c r="T47" s="43" t="n">
        <v>2023</v>
      </c>
      <c r="U47" s="43" t="inlineStr">
        <is>
          <t>6.0 CGPA</t>
        </is>
      </c>
      <c r="V47" s="96" t="inlineStr">
        <is>
          <t>duaac@jntuh.ac.in</t>
        </is>
      </c>
    </row>
    <row r="48" ht="29" customFormat="1" customHeight="1" s="43">
      <c r="A48" s="66" t="n">
        <v>45</v>
      </c>
      <c r="B48" s="66" t="n">
        <v>297529</v>
      </c>
      <c r="C48" s="66" t="inlineStr">
        <is>
          <t>Henil Patel</t>
        </is>
      </c>
      <c r="D48" s="74" t="inlineStr">
        <is>
          <t>henilpatel21@gnu.ac.in</t>
        </is>
      </c>
      <c r="E48" s="66" t="n"/>
      <c r="F48" s="66" t="inlineStr">
        <is>
          <t>Male</t>
        </is>
      </c>
      <c r="G48" s="68" t="inlineStr">
        <is>
          <t>05/06/2003</t>
        </is>
      </c>
      <c r="H48" s="66" t="inlineStr">
        <is>
          <t>T0356548</t>
        </is>
      </c>
      <c r="I48" s="66" t="inlineStr">
        <is>
          <t>9782834314</t>
        </is>
      </c>
      <c r="J48" s="70" t="inlineStr">
        <is>
          <t>25/05/2025</t>
        </is>
      </c>
      <c r="K48" s="70" t="inlineStr">
        <is>
          <t>9/09/2025</t>
        </is>
      </c>
      <c r="L48" s="50">
        <f>IF(K48&lt;&gt;"",K48-J48,TODAY()-DATE(MID(J48,7,4),MID(J48,4,2),LEFT(J48,2)))</f>
        <v/>
      </c>
      <c r="M48" s="51" t="inlineStr">
        <is>
          <t>APS Received</t>
        </is>
      </c>
      <c r="N48" s="43" t="n">
        <v>85</v>
      </c>
      <c r="O48" s="43" t="n">
        <v>64.70999999999999</v>
      </c>
      <c r="P48" s="43" t="inlineStr">
        <is>
          <t>BBA (Logistics)</t>
        </is>
      </c>
      <c r="Q48" s="43" t="inlineStr">
        <is>
          <t>V.M Patel College of Management Studies</t>
        </is>
      </c>
      <c r="R48" s="43" t="inlineStr">
        <is>
          <t>Mehsana</t>
        </is>
      </c>
      <c r="S48" s="43" t="inlineStr">
        <is>
          <t>Ganpat University</t>
        </is>
      </c>
      <c r="T48" s="43" t="n">
        <v>2024</v>
      </c>
      <c r="U48" s="43" t="inlineStr">
        <is>
          <t>9.1 CGPA</t>
        </is>
      </c>
      <c r="V48" s="96" t="inlineStr">
        <is>
          <t>vbp01@ganpatuniversity.ac.in</t>
        </is>
      </c>
      <c r="AB48" s="43" t="inlineStr">
        <is>
          <t>IELTS</t>
        </is>
      </c>
    </row>
    <row r="49" ht="29" customFormat="1" customHeight="1" s="43">
      <c r="A49" s="66" t="n">
        <v>46</v>
      </c>
      <c r="B49" s="66" t="n">
        <v>295823</v>
      </c>
      <c r="C49" s="66" t="inlineStr">
        <is>
          <t>Varshini Mallanayakanahalli Suresh</t>
        </is>
      </c>
      <c r="D49" s="74" t="inlineStr">
        <is>
          <t>varshinims974@gmail.com</t>
        </is>
      </c>
      <c r="E49" s="66" t="n"/>
      <c r="F49" s="66" t="inlineStr">
        <is>
          <t>Female</t>
        </is>
      </c>
      <c r="G49" s="68" t="inlineStr">
        <is>
          <t>10/09/2001</t>
        </is>
      </c>
      <c r="H49" s="66" t="inlineStr">
        <is>
          <t>C6228692</t>
        </is>
      </c>
      <c r="I49" s="66" t="inlineStr">
        <is>
          <t>9148246672</t>
        </is>
      </c>
      <c r="J49" s="70" t="inlineStr">
        <is>
          <t>16/05/2025</t>
        </is>
      </c>
      <c r="K49" s="70" t="inlineStr">
        <is>
          <t>17/06/2025</t>
        </is>
      </c>
      <c r="L49" s="50">
        <f>IF(K49&lt;&gt;"",K49-J49,TODAY()-DATE(MID(J49,7,4),MID(J49,4,2),LEFT(J49,2)))</f>
        <v/>
      </c>
      <c r="M49" s="51" t="inlineStr">
        <is>
          <t>APS Received</t>
        </is>
      </c>
      <c r="N49" s="43" t="n">
        <v>77.59999999999999</v>
      </c>
      <c r="O49" s="43" t="n">
        <v>66.17</v>
      </c>
      <c r="P49" s="43" t="inlineStr">
        <is>
          <t>BCA (Computer Applications)</t>
        </is>
      </c>
      <c r="Q49" s="43" t="inlineStr">
        <is>
          <t>Mandya University</t>
        </is>
      </c>
      <c r="R49" s="43" t="inlineStr">
        <is>
          <t>Mandya</t>
        </is>
      </c>
      <c r="S49" s="43" t="inlineStr">
        <is>
          <t>Mandya University</t>
        </is>
      </c>
      <c r="T49" s="43" t="n">
        <v>2023</v>
      </c>
      <c r="U49" s="43" t="inlineStr">
        <is>
          <t>78.39% / 8.0 CGPA</t>
        </is>
      </c>
      <c r="V49" s="96" t="inlineStr">
        <is>
          <t>vc.mum@karnataka.gov.in</t>
        </is>
      </c>
    </row>
    <row r="50" ht="29" customFormat="1" customHeight="1" s="43">
      <c r="A50" s="66" t="n">
        <v>47</v>
      </c>
      <c r="B50" s="66" t="n">
        <v>303195</v>
      </c>
      <c r="C50" s="66" t="inlineStr">
        <is>
          <t>Rishabh Singh</t>
        </is>
      </c>
      <c r="D50" s="74" t="inlineStr">
        <is>
          <t>rishabhsingh0019@gmail.com</t>
        </is>
      </c>
      <c r="E50" s="66" t="n"/>
      <c r="F50" s="66" t="inlineStr">
        <is>
          <t>Male</t>
        </is>
      </c>
      <c r="G50" s="68" t="inlineStr">
        <is>
          <t>07/03/2003</t>
        </is>
      </c>
      <c r="H50" s="66" t="inlineStr">
        <is>
          <t>W2272005</t>
        </is>
      </c>
      <c r="I50" s="66" t="inlineStr">
        <is>
          <t>9711344554</t>
        </is>
      </c>
      <c r="J50" s="70" t="inlineStr">
        <is>
          <t>29/06/2025</t>
        </is>
      </c>
      <c r="K50" s="70" t="inlineStr">
        <is>
          <t>12/08/2025</t>
        </is>
      </c>
      <c r="L50" s="50">
        <f>IF(K50&lt;&gt;"",K50-J50,TODAY()-DATE(MID(J50,7,4),MID(J50,4,2),LEFT(J50,2)))</f>
        <v/>
      </c>
      <c r="M50" s="51" t="inlineStr">
        <is>
          <t>APS Received</t>
        </is>
      </c>
      <c r="N50" s="43" t="n">
        <v>74.59999999999999</v>
      </c>
      <c r="O50" s="43" t="n">
        <v>67.8</v>
      </c>
      <c r="P50" s="43" t="inlineStr">
        <is>
          <t>B.Tech (Computer Science)</t>
        </is>
      </c>
      <c r="Q50" s="43" t="inlineStr">
        <is>
          <t>JSS Academy of Technical Education</t>
        </is>
      </c>
      <c r="R50" s="43" t="inlineStr">
        <is>
          <t>Gorakhpur</t>
        </is>
      </c>
      <c r="S50" s="43" t="inlineStr">
        <is>
          <t>Abdul Kalam Technical University (AKTU)</t>
        </is>
      </c>
      <c r="T50" s="43" t="n">
        <v>2023</v>
      </c>
      <c r="U50" s="43" t="inlineStr">
        <is>
          <t>6.8 CGPA</t>
        </is>
      </c>
      <c r="V50" s="96" t="inlineStr">
        <is>
          <t>hodcse@jssaten.ac.in</t>
        </is>
      </c>
    </row>
    <row r="51" ht="29" customFormat="1" customHeight="1" s="43">
      <c r="A51" s="66" t="n">
        <v>48</v>
      </c>
      <c r="B51" s="66" t="n">
        <v>298767</v>
      </c>
      <c r="C51" s="66" t="inlineStr">
        <is>
          <t>Hemanth M</t>
        </is>
      </c>
      <c r="D51" s="74" t="inlineStr">
        <is>
          <t>hemanthmanjunanth@gmail.com</t>
        </is>
      </c>
      <c r="E51" s="66" t="n"/>
      <c r="F51" s="66" t="inlineStr">
        <is>
          <t>Male</t>
        </is>
      </c>
      <c r="G51" s="68" t="inlineStr">
        <is>
          <t>17/11/2000</t>
        </is>
      </c>
      <c r="H51" s="66" t="inlineStr">
        <is>
          <t>C4978207</t>
        </is>
      </c>
      <c r="I51" s="66" t="inlineStr">
        <is>
          <t>7892411432</t>
        </is>
      </c>
      <c r="J51" s="70" t="inlineStr">
        <is>
          <t>31/05/2025</t>
        </is>
      </c>
      <c r="K51" s="70" t="inlineStr">
        <is>
          <t>8/07/2025</t>
        </is>
      </c>
      <c r="L51" s="50">
        <f>IF(K51&lt;&gt;"",K51-J51,TODAY()-DATE(MID(J51,7,4),MID(J51,4,2),LEFT(J51,2)))</f>
        <v/>
      </c>
      <c r="M51" s="51" t="inlineStr">
        <is>
          <t>APS Received</t>
        </is>
      </c>
      <c r="N51" s="43" t="n">
        <v>88.8</v>
      </c>
      <c r="O51" s="43" t="n">
        <v>90</v>
      </c>
      <c r="P51" s="43" t="inlineStr">
        <is>
          <t>B.Com (Accounts)</t>
        </is>
      </c>
      <c r="Q51" s="43" t="inlineStr">
        <is>
          <t>PES University</t>
        </is>
      </c>
      <c r="R51" s="43" t="inlineStr">
        <is>
          <t>Bangalore</t>
        </is>
      </c>
      <c r="S51" s="43" t="inlineStr">
        <is>
          <t>PES University</t>
        </is>
      </c>
      <c r="T51" s="43" t="n">
        <v>2022</v>
      </c>
      <c r="U51" s="43" t="inlineStr">
        <is>
          <t>8.3 CGPA</t>
        </is>
      </c>
      <c r="V51" s="96" t="inlineStr">
        <is>
          <t>coe.pesu@pes.edu</t>
        </is>
      </c>
    </row>
    <row r="52" ht="29" customFormat="1" customHeight="1" s="43">
      <c r="A52" s="66" t="n">
        <v>49</v>
      </c>
      <c r="B52" s="66" t="n">
        <v>298757</v>
      </c>
      <c r="C52" s="66" t="inlineStr">
        <is>
          <t>Chandan S S</t>
        </is>
      </c>
      <c r="D52" s="74" t="inlineStr">
        <is>
          <t>chandansrinivasa09@gmail.com</t>
        </is>
      </c>
      <c r="E52" s="66" t="n"/>
      <c r="F52" s="66" t="inlineStr">
        <is>
          <t>Male</t>
        </is>
      </c>
      <c r="G52" s="68" t="inlineStr">
        <is>
          <t>09/09/1998</t>
        </is>
      </c>
      <c r="H52" s="66" t="inlineStr">
        <is>
          <t>X6939814</t>
        </is>
      </c>
      <c r="I52" s="66" t="inlineStr">
        <is>
          <t>8660287008</t>
        </is>
      </c>
      <c r="J52" s="70" t="inlineStr">
        <is>
          <t>31/05/2025</t>
        </is>
      </c>
      <c r="K52" s="70" t="inlineStr">
        <is>
          <t>15/07/2025</t>
        </is>
      </c>
      <c r="L52" s="50">
        <f>IF(K52&lt;&gt;"",K52-J52,TODAY()-DATE(MID(J52,7,4),MID(J52,4,2),LEFT(J52,2)))</f>
        <v/>
      </c>
      <c r="M52" s="51" t="inlineStr">
        <is>
          <t>APS Received</t>
        </is>
      </c>
      <c r="N52" s="43" t="n">
        <v>68.64</v>
      </c>
      <c r="O52" s="43" t="n">
        <v>58.83</v>
      </c>
      <c r="P52" s="43" t="inlineStr">
        <is>
          <t>B.Com (Finance)</t>
        </is>
      </c>
      <c r="Q52" s="43" t="inlineStr">
        <is>
          <t>Jain College</t>
        </is>
      </c>
      <c r="R52" s="43" t="inlineStr">
        <is>
          <t>Bangalore</t>
        </is>
      </c>
      <c r="S52" s="43" t="inlineStr">
        <is>
          <t>Bangalore University</t>
        </is>
      </c>
      <c r="T52" s="43" t="n">
        <v>2019</v>
      </c>
      <c r="U52" s="43" t="inlineStr">
        <is>
          <t>7.3 CGPA</t>
        </is>
      </c>
      <c r="V52" s="96" t="inlineStr">
        <is>
          <t>registrarevaluation@bub.ernet.in</t>
        </is>
      </c>
    </row>
    <row r="53" ht="29" customFormat="1" customHeight="1" s="43">
      <c r="A53" s="66" t="n">
        <v>50</v>
      </c>
      <c r="B53" s="66" t="n">
        <v>297605</v>
      </c>
      <c r="C53" s="66" t="inlineStr">
        <is>
          <t>Samyak Gade</t>
        </is>
      </c>
      <c r="D53" s="74" t="inlineStr">
        <is>
          <t>samgade01@gmail.com</t>
        </is>
      </c>
      <c r="E53" s="66" t="n"/>
      <c r="F53" s="66" t="inlineStr">
        <is>
          <t>Male</t>
        </is>
      </c>
      <c r="G53" s="68" t="inlineStr">
        <is>
          <t>01/08/2001</t>
        </is>
      </c>
      <c r="H53" s="66" t="inlineStr">
        <is>
          <t>AA569709</t>
        </is>
      </c>
      <c r="I53" s="66" t="inlineStr">
        <is>
          <t>8380079796</t>
        </is>
      </c>
      <c r="J53" s="70" t="inlineStr">
        <is>
          <t>28/05/2025</t>
        </is>
      </c>
      <c r="K53" s="70" t="inlineStr">
        <is>
          <t>8/07/2025</t>
        </is>
      </c>
      <c r="L53" s="50">
        <f>IF(K53&lt;&gt;"",K53-J53,TODAY()-DATE(MID(J53,7,4),MID(J53,4,2),LEFT(J53,2)))</f>
        <v/>
      </c>
      <c r="M53" s="51" t="inlineStr">
        <is>
          <t>APS Received</t>
        </is>
      </c>
      <c r="N53" s="43" t="n">
        <v>79</v>
      </c>
      <c r="O53" s="43" t="n">
        <v>57.69</v>
      </c>
      <c r="P53" s="43" t="inlineStr">
        <is>
          <t>B.E (Computer Engineering)</t>
        </is>
      </c>
      <c r="Q53" s="43" t="inlineStr">
        <is>
          <t>Dr. D. Y. Patil School of Engineering</t>
        </is>
      </c>
      <c r="R53" s="43" t="inlineStr">
        <is>
          <t>Nagpur</t>
        </is>
      </c>
      <c r="S53" s="43" t="inlineStr">
        <is>
          <t>Savitribai Phule Pune University</t>
        </is>
      </c>
      <c r="T53" s="43" t="n">
        <v>2023</v>
      </c>
      <c r="U53" s="43" t="inlineStr">
        <is>
          <t>6.8 CGPA</t>
        </is>
      </c>
      <c r="V53" s="96" t="inlineStr">
        <is>
          <t>ujvalapatil@dypic.in</t>
        </is>
      </c>
      <c r="AB53" s="43" t="inlineStr">
        <is>
          <t>IELTS</t>
        </is>
      </c>
    </row>
    <row r="54" ht="42" customFormat="1" customHeight="1" s="43">
      <c r="A54" s="66" t="n">
        <v>51</v>
      </c>
      <c r="B54" s="66" t="n">
        <v>300900</v>
      </c>
      <c r="C54" s="66" t="inlineStr">
        <is>
          <t>Giridhar G</t>
        </is>
      </c>
      <c r="D54" s="74" t="inlineStr">
        <is>
          <t>giridhargooty09@gmail.com</t>
        </is>
      </c>
      <c r="E54" s="66" t="n"/>
      <c r="F54" s="66" t="inlineStr">
        <is>
          <t>Male</t>
        </is>
      </c>
      <c r="G54" s="68" t="inlineStr">
        <is>
          <t>09/09/1997</t>
        </is>
      </c>
      <c r="H54" s="66" t="inlineStr">
        <is>
          <t>W0703762</t>
        </is>
      </c>
      <c r="I54" s="66" t="inlineStr">
        <is>
          <t>7899841609</t>
        </is>
      </c>
      <c r="J54" s="70" t="inlineStr">
        <is>
          <t>13/06/2025</t>
        </is>
      </c>
      <c r="K54" s="70" t="inlineStr">
        <is>
          <t>6/08/2025</t>
        </is>
      </c>
      <c r="L54" s="50">
        <f>IF(K54&lt;&gt;"",K54-J54,TODAY()-DATE(MID(J54,7,4),MID(J54,4,2),LEFT(J54,2)))</f>
        <v/>
      </c>
      <c r="M54" s="51" t="inlineStr">
        <is>
          <t>APS Received</t>
        </is>
      </c>
      <c r="N54" s="43" t="n">
        <v>88</v>
      </c>
      <c r="O54" s="43" t="n">
        <v>65</v>
      </c>
      <c r="P54" s="43" t="inlineStr">
        <is>
          <t>BE (Automobile)</t>
        </is>
      </c>
      <c r="Q54" s="43" t="inlineStr">
        <is>
          <t>The Oxford College of Engineering</t>
        </is>
      </c>
      <c r="R54" s="43" t="inlineStr">
        <is>
          <t>Bangarpet</t>
        </is>
      </c>
      <c r="S54" s="43" t="inlineStr">
        <is>
          <t>Visveshwaraiah Technological University</t>
        </is>
      </c>
      <c r="T54" s="43" t="n">
        <v>2021</v>
      </c>
      <c r="U54" s="43" t="inlineStr">
        <is>
          <t>5.9 CGPA</t>
        </is>
      </c>
      <c r="V54" s="96" t="n"/>
      <c r="AB54" s="43" t="inlineStr">
        <is>
          <t>IELTS</t>
        </is>
      </c>
    </row>
    <row r="55" ht="42" customFormat="1" customHeight="1" s="43">
      <c r="A55" s="66" t="n">
        <v>52</v>
      </c>
      <c r="B55" s="66" t="n">
        <v>184145</v>
      </c>
      <c r="C55" s="66" t="inlineStr">
        <is>
          <t>Chanchal Yadav</t>
        </is>
      </c>
      <c r="D55" s="74" t="inlineStr">
        <is>
          <t>Chanchalyyadav1998@gmail.com</t>
        </is>
      </c>
      <c r="E55" s="66" t="n"/>
      <c r="F55" s="66" t="inlineStr">
        <is>
          <t>Female</t>
        </is>
      </c>
      <c r="G55" s="68" t="inlineStr">
        <is>
          <t>17/07/1998</t>
        </is>
      </c>
      <c r="H55" s="66" t="inlineStr">
        <is>
          <t>V2653839</t>
        </is>
      </c>
      <c r="I55" s="66" t="inlineStr">
        <is>
          <t>9425661471</t>
        </is>
      </c>
      <c r="J55" s="70" t="inlineStr">
        <is>
          <t>29/03/2024</t>
        </is>
      </c>
      <c r="K55" s="70" t="inlineStr">
        <is>
          <t>29/05/2024</t>
        </is>
      </c>
      <c r="L55" s="50">
        <f>IF(K55&lt;&gt;"",K55-J55,TODAY()-DATE(MID(J55,7,4),MID(J55,4,2),LEFT(J55,2)))</f>
        <v/>
      </c>
      <c r="M55" s="51" t="inlineStr">
        <is>
          <t>APS Received</t>
        </is>
      </c>
      <c r="N55" s="43" t="n">
        <v>7.8</v>
      </c>
      <c r="O55" s="43" t="n">
        <v>67.59999999999999</v>
      </c>
      <c r="P55" s="43" t="inlineStr">
        <is>
          <t>B.Tech (CSE)</t>
        </is>
      </c>
      <c r="Q55" s="43" t="inlineStr">
        <is>
          <t>Lakshmi Narain College of Technology and Science</t>
        </is>
      </c>
      <c r="R55" s="43" t="inlineStr">
        <is>
          <t>Bhopal</t>
        </is>
      </c>
      <c r="S55" s="43" t="inlineStr">
        <is>
          <t>Rajiv Gandhi Proudyogiki Vishwavidyalaya</t>
        </is>
      </c>
      <c r="T55" s="43" t="n">
        <v>2021</v>
      </c>
      <c r="U55" s="43" t="inlineStr">
        <is>
          <t>77% / 7.7 CGPA</t>
        </is>
      </c>
      <c r="V55" s="96" t="inlineStr">
        <is>
          <t>registrarrgpv@gmail.com</t>
        </is>
      </c>
      <c r="AB55" s="43" t="inlineStr">
        <is>
          <t>IELTS</t>
        </is>
      </c>
    </row>
    <row r="56" ht="29" customFormat="1" customHeight="1" s="43">
      <c r="A56" s="66" t="n">
        <v>53</v>
      </c>
      <c r="B56" s="66" t="n">
        <v>295740</v>
      </c>
      <c r="C56" s="66" t="inlineStr">
        <is>
          <t>Rajveer Kaur</t>
        </is>
      </c>
      <c r="D56" s="74" t="inlineStr">
        <is>
          <t>rajveerkaurrajveerkaur9@gmail.com</t>
        </is>
      </c>
      <c r="E56" s="66" t="n"/>
      <c r="F56" s="66" t="inlineStr">
        <is>
          <t>Female</t>
        </is>
      </c>
      <c r="G56" s="68" t="inlineStr">
        <is>
          <t>02/02/2001</t>
        </is>
      </c>
      <c r="H56" s="66" t="inlineStr">
        <is>
          <t>V4157049</t>
        </is>
      </c>
      <c r="I56" s="66" t="inlineStr">
        <is>
          <t>8360570023</t>
        </is>
      </c>
      <c r="J56" s="70" t="inlineStr">
        <is>
          <t>16/05/2025</t>
        </is>
      </c>
      <c r="K56" s="70" t="inlineStr">
        <is>
          <t>4/08/2025</t>
        </is>
      </c>
      <c r="L56" s="50">
        <f>IF(K56&lt;&gt;"",K56-J56,TODAY()-DATE(MID(J56,7,4),MID(J56,4,2),LEFT(J56,2)))</f>
        <v/>
      </c>
      <c r="M56" s="51" t="inlineStr">
        <is>
          <t>APS Received</t>
        </is>
      </c>
      <c r="N56" s="43" t="n">
        <v>73</v>
      </c>
      <c r="O56" s="43" t="n">
        <v>83</v>
      </c>
      <c r="P56" s="43" t="inlineStr">
        <is>
          <t>B.Com</t>
        </is>
      </c>
      <c r="Q56" s="43" t="inlineStr">
        <is>
          <t>A.S College, Khanna</t>
        </is>
      </c>
      <c r="R56" s="43" t="inlineStr">
        <is>
          <t>Khanna</t>
        </is>
      </c>
      <c r="S56" s="43" t="inlineStr">
        <is>
          <t>Punjab University</t>
        </is>
      </c>
      <c r="T56" s="43" t="n">
        <v>2021</v>
      </c>
      <c r="U56" s="43" t="inlineStr">
        <is>
          <t>73% / 7.0 CGPA</t>
        </is>
      </c>
      <c r="V56" s="96" t="inlineStr">
        <is>
          <t>vc@pu.ac.in</t>
        </is>
      </c>
      <c r="AB56" s="43" t="inlineStr">
        <is>
          <t>IELTS</t>
        </is>
      </c>
    </row>
    <row r="57" ht="56" customFormat="1" customHeight="1" s="43">
      <c r="A57" s="75" t="n">
        <v>54</v>
      </c>
      <c r="B57" s="75" t="n">
        <v>257938</v>
      </c>
      <c r="C57" s="75" t="inlineStr">
        <is>
          <t>Srinivas Rendla</t>
        </is>
      </c>
      <c r="D57" s="76" t="inlineStr">
        <is>
          <t>srinivas.rendla2021@gmail.com</t>
        </is>
      </c>
      <c r="E57" s="75" t="n"/>
      <c r="F57" s="75" t="inlineStr">
        <is>
          <t>Male</t>
        </is>
      </c>
      <c r="G57" s="77" t="inlineStr">
        <is>
          <t>06/04/1992</t>
        </is>
      </c>
      <c r="H57" s="75" t="inlineStr">
        <is>
          <t>P3292023</t>
        </is>
      </c>
      <c r="I57" s="75" t="inlineStr">
        <is>
          <t>9347773921</t>
        </is>
      </c>
      <c r="J57" s="78" t="inlineStr">
        <is>
          <t>30/11/2024</t>
        </is>
      </c>
      <c r="K57" s="78" t="inlineStr">
        <is>
          <t>05/03/2025</t>
        </is>
      </c>
      <c r="L57" s="50">
        <f>IF(K57&lt;&gt;"",K57-J57,TODAY()-DATE(MID(J57,7,4),MID(J57,4,2),LEFT(J57,2)))</f>
        <v/>
      </c>
      <c r="M57" s="51" t="inlineStr">
        <is>
          <t>APS Received</t>
        </is>
      </c>
      <c r="N57" s="79" t="n">
        <v>87</v>
      </c>
      <c r="O57" s="79" t="n">
        <v>67</v>
      </c>
      <c r="P57" s="79" t="inlineStr">
        <is>
          <t>B.Tech (Mechanical Engineering)</t>
        </is>
      </c>
      <c r="Q57" s="79" t="inlineStr">
        <is>
          <t>Siddhartha Institute of Technology and Science (SITS), Ghatkesar</t>
        </is>
      </c>
      <c r="R57" s="79" t="inlineStr">
        <is>
          <t>Ghatkesar</t>
        </is>
      </c>
      <c r="S57" s="79" t="inlineStr">
        <is>
          <t>Jawaharlal Nehru Technological University, Hyderabad</t>
        </is>
      </c>
      <c r="T57" s="79" t="n">
        <v>2014</v>
      </c>
      <c r="U57" s="79" t="inlineStr">
        <is>
          <t>67.05%</t>
        </is>
      </c>
      <c r="V57" s="96" t="n"/>
      <c r="W57" s="79" t="n"/>
      <c r="X57" s="79" t="n"/>
      <c r="Y57" s="79" t="n"/>
      <c r="Z57" s="79" t="n"/>
      <c r="AA57" s="79" t="n"/>
      <c r="AB57" s="79" t="n"/>
      <c r="AC57" s="79" t="n"/>
    </row>
    <row r="58" ht="42" customFormat="1" customHeight="1" s="43">
      <c r="A58" s="75" t="n">
        <v>55</v>
      </c>
      <c r="B58" s="75" t="n">
        <v>318273</v>
      </c>
      <c r="C58" s="75" t="inlineStr">
        <is>
          <t>Arepaga Srikanth</t>
        </is>
      </c>
      <c r="D58" s="76" t="inlineStr">
        <is>
          <t>arepagasrikanth27@gmail.com</t>
        </is>
      </c>
      <c r="E58" s="75" t="n"/>
      <c r="F58" s="75" t="inlineStr">
        <is>
          <t>Male</t>
        </is>
      </c>
      <c r="G58" s="77" t="inlineStr">
        <is>
          <t>27/01/2003</t>
        </is>
      </c>
      <c r="H58" s="75" t="inlineStr">
        <is>
          <t>AE265821</t>
        </is>
      </c>
      <c r="I58" s="75" t="inlineStr">
        <is>
          <t>9014605143</t>
        </is>
      </c>
      <c r="J58" s="78" t="inlineStr">
        <is>
          <t>07/10/2025</t>
        </is>
      </c>
      <c r="K58" s="78" t="inlineStr">
        <is>
          <t>21/10/2025</t>
        </is>
      </c>
      <c r="L58" s="50">
        <f>IF(K58&lt;&gt;"",K58-J58,TODAY()-DATE(MID(J58,7,4),MID(J58,4,2),LEFT(J58,2)))</f>
        <v/>
      </c>
      <c r="M58" s="51" t="inlineStr">
        <is>
          <t>APS Received</t>
        </is>
      </c>
      <c r="N58" s="79" t="n">
        <v>9.800000000000001</v>
      </c>
      <c r="O58" s="79" t="n">
        <v>90.40000000000001</v>
      </c>
      <c r="P58" s="79" t="inlineStr">
        <is>
          <t>B.Tech (ECE)</t>
        </is>
      </c>
      <c r="Q58" s="79" t="inlineStr">
        <is>
          <t>Hyderabad Institute of Technology and Management</t>
        </is>
      </c>
      <c r="R58" s="79" t="inlineStr">
        <is>
          <t>Hyderabad</t>
        </is>
      </c>
      <c r="S58" s="79" t="inlineStr">
        <is>
          <t>JNTUH</t>
        </is>
      </c>
      <c r="T58" s="79" t="n">
        <v>2025</v>
      </c>
      <c r="U58" s="79" t="inlineStr">
        <is>
          <t>68% / 7.3 CGPA</t>
        </is>
      </c>
      <c r="V58" s="96" t="n"/>
      <c r="W58" s="79" t="n"/>
      <c r="X58" s="79" t="n"/>
      <c r="Y58" s="79" t="n"/>
      <c r="Z58" s="79" t="n"/>
      <c r="AA58" s="79" t="n"/>
      <c r="AB58" s="79" t="n"/>
      <c r="AC58" s="79" t="n"/>
    </row>
    <row r="59" ht="29" customFormat="1" customHeight="1" s="43">
      <c r="A59" s="75" t="n">
        <v>56</v>
      </c>
      <c r="B59" s="75" t="n">
        <v>317221</v>
      </c>
      <c r="C59" s="75" t="inlineStr">
        <is>
          <t>Aftab</t>
        </is>
      </c>
      <c r="D59" s="73" t="inlineStr">
        <is>
          <t>aftabsalmani2523@gmail.com</t>
        </is>
      </c>
      <c r="E59" s="75" t="n"/>
      <c r="F59" s="75" t="inlineStr">
        <is>
          <t>Male</t>
        </is>
      </c>
      <c r="G59" s="77" t="inlineStr">
        <is>
          <t>25/01/2002</t>
        </is>
      </c>
      <c r="H59" s="75" t="inlineStr">
        <is>
          <t>AG033889</t>
        </is>
      </c>
      <c r="I59" s="75" t="inlineStr">
        <is>
          <t>9899237306</t>
        </is>
      </c>
      <c r="J59" s="78" t="inlineStr">
        <is>
          <t>30/09/2025</t>
        </is>
      </c>
      <c r="K59" s="78" t="inlineStr">
        <is>
          <t>13/10/2025</t>
        </is>
      </c>
      <c r="L59" s="50">
        <f>IF(K59&lt;&gt;"",K59-J59,TODAY()-DATE(MID(J59,7,4),MID(J59,4,2),LEFT(J59,2)))</f>
        <v/>
      </c>
      <c r="M59" s="51" t="inlineStr">
        <is>
          <t>APS Received</t>
        </is>
      </c>
      <c r="N59" s="79" t="n">
        <v>47</v>
      </c>
      <c r="O59" s="79" t="n">
        <v>65.40000000000001</v>
      </c>
      <c r="P59" s="79" t="inlineStr">
        <is>
          <t>BA (Hons) English Literature</t>
        </is>
      </c>
      <c r="Q59" s="79" t="inlineStr">
        <is>
          <t>Amity School of Liberal Arts</t>
        </is>
      </c>
      <c r="R59" s="79" t="inlineStr">
        <is>
          <t>Gurgaon</t>
        </is>
      </c>
      <c r="S59" s="79" t="inlineStr">
        <is>
          <t>Amity University Haryana</t>
        </is>
      </c>
      <c r="T59" s="79" t="n">
        <v>2025</v>
      </c>
      <c r="U59" s="79" t="inlineStr">
        <is>
          <t>7.1 CGPA</t>
        </is>
      </c>
      <c r="V59" s="96" t="inlineStr">
        <is>
          <t>skmishra@ggn.amity.com</t>
        </is>
      </c>
      <c r="W59" s="79" t="n"/>
      <c r="X59" s="79" t="n"/>
      <c r="Y59" s="79" t="n"/>
      <c r="Z59" s="79" t="n"/>
      <c r="AA59" s="79" t="n"/>
      <c r="AB59" s="79" t="n"/>
      <c r="AC59" s="79" t="n"/>
    </row>
    <row r="60" ht="42" customFormat="1" customHeight="1" s="43">
      <c r="A60" s="75" t="n">
        <v>57</v>
      </c>
      <c r="B60" s="75" t="n">
        <v>317745</v>
      </c>
      <c r="C60" s="75" t="inlineStr">
        <is>
          <t>Ravula Sree Chakrapathy Goud</t>
        </is>
      </c>
      <c r="D60" s="76" t="inlineStr">
        <is>
          <t>ravula.r.chakrigoud@gmail.com</t>
        </is>
      </c>
      <c r="E60" s="75" t="n"/>
      <c r="F60" s="75" t="inlineStr">
        <is>
          <t>Male</t>
        </is>
      </c>
      <c r="G60" s="77" t="inlineStr">
        <is>
          <t>23/02/2004</t>
        </is>
      </c>
      <c r="H60" s="75" t="inlineStr">
        <is>
          <t>C4490157</t>
        </is>
      </c>
      <c r="I60" s="75" t="inlineStr">
        <is>
          <t>8247674587</t>
        </is>
      </c>
      <c r="J60" s="78" t="inlineStr">
        <is>
          <t>03/10/2025</t>
        </is>
      </c>
      <c r="K60" s="78" t="inlineStr">
        <is>
          <t>05/11/2025</t>
        </is>
      </c>
      <c r="L60" s="50">
        <f>IF(K60&lt;&gt;"",K60-J60,TODAY()-DATE(MID(J60,7,4),MID(J60,4,2),LEFT(J60,2)))</f>
        <v/>
      </c>
      <c r="M60" s="51" t="inlineStr">
        <is>
          <t>APS Received</t>
        </is>
      </c>
      <c r="N60" s="79" t="n">
        <v>8.699999999999999</v>
      </c>
      <c r="O60" s="79" t="n">
        <v>92.2</v>
      </c>
      <c r="P60" s="79" t="inlineStr">
        <is>
          <t>B.Tech (Data Science)</t>
        </is>
      </c>
      <c r="Q60" s="79" t="inlineStr">
        <is>
          <t>Sri Indu College of Engineering &amp; Technology</t>
        </is>
      </c>
      <c r="R60" s="79" t="inlineStr">
        <is>
          <t>Hyderabad</t>
        </is>
      </c>
      <c r="S60" s="79" t="inlineStr">
        <is>
          <t>Jawaharlal Nehru Technological University Hyderabad</t>
        </is>
      </c>
      <c r="T60" s="79" t="n">
        <v>2025</v>
      </c>
      <c r="U60" s="79" t="inlineStr">
        <is>
          <t>7.1 CGPA</t>
        </is>
      </c>
      <c r="V60" s="96" t="inlineStr">
        <is>
          <t>dshod@sriindu.ac.in</t>
        </is>
      </c>
      <c r="W60" s="79" t="n"/>
      <c r="X60" s="79" t="n"/>
      <c r="Y60" s="79" t="n"/>
      <c r="Z60" s="79" t="n"/>
      <c r="AA60" s="79" t="n"/>
      <c r="AB60" s="79" t="n"/>
      <c r="AC60" s="79" t="n"/>
    </row>
    <row r="61" ht="29" customFormat="1" customHeight="1" s="43">
      <c r="A61" s="75" t="n">
        <v>58</v>
      </c>
      <c r="B61" s="75" t="n">
        <v>318485</v>
      </c>
      <c r="C61" s="75" t="inlineStr">
        <is>
          <t>Mary Stella Chevkula</t>
        </is>
      </c>
      <c r="D61" s="73" t="inlineStr">
        <is>
          <t>MARYPBSTELLA@GMAIL.COM</t>
        </is>
      </c>
      <c r="E61" s="75" t="n"/>
      <c r="F61" s="75" t="inlineStr">
        <is>
          <t>Female</t>
        </is>
      </c>
      <c r="G61" s="77" t="inlineStr">
        <is>
          <t>28/07/2003</t>
        </is>
      </c>
      <c r="H61" s="75" t="inlineStr">
        <is>
          <t>AG923587</t>
        </is>
      </c>
      <c r="I61" s="75" t="inlineStr">
        <is>
          <t>7330628225</t>
        </is>
      </c>
      <c r="J61" s="78" t="inlineStr">
        <is>
          <t>07/10/2025</t>
        </is>
      </c>
      <c r="K61" s="78" t="inlineStr">
        <is>
          <t>22/10/2025</t>
        </is>
      </c>
      <c r="L61" s="50">
        <f>IF(K61&lt;&gt;"",K61-J61,TODAY()-DATE(MID(J61,7,4),MID(J61,4,2),LEFT(J61,2)))</f>
        <v/>
      </c>
      <c r="M61" s="51" t="inlineStr">
        <is>
          <t>APS Received</t>
        </is>
      </c>
      <c r="N61" s="79" t="n">
        <v>88</v>
      </c>
      <c r="O61" s="79" t="n">
        <v>85</v>
      </c>
      <c r="P61" s="79" t="inlineStr">
        <is>
          <t>B.Tech (Mechanical Engineering)</t>
        </is>
      </c>
      <c r="Q61" s="79" t="inlineStr">
        <is>
          <t>Vellore Institute of Technology</t>
        </is>
      </c>
      <c r="R61" s="79" t="inlineStr">
        <is>
          <t>Vellore</t>
        </is>
      </c>
      <c r="S61" s="79" t="inlineStr">
        <is>
          <t>Vellore Institute of Technology</t>
        </is>
      </c>
      <c r="T61" s="79" t="n">
        <v>2025</v>
      </c>
      <c r="U61" s="79" t="inlineStr">
        <is>
          <t>77.4% / 7.7 CGPA</t>
        </is>
      </c>
      <c r="V61" s="96" t="inlineStr">
        <is>
          <t>ARAVINDRAJ.S@VIT.AC.IN</t>
        </is>
      </c>
      <c r="W61" s="79" t="n"/>
      <c r="X61" s="79" t="n"/>
      <c r="Y61" s="79" t="n"/>
      <c r="Z61" s="79" t="n"/>
      <c r="AA61" s="79" t="n"/>
      <c r="AB61" s="79" t="n"/>
      <c r="AC61" s="79" t="n"/>
    </row>
    <row r="62" ht="42" customFormat="1" customHeight="1" s="43">
      <c r="A62" s="75" t="n">
        <v>59</v>
      </c>
      <c r="B62" s="75" t="n">
        <v>315145</v>
      </c>
      <c r="C62" s="75" t="inlineStr">
        <is>
          <t>Ritesh Lad</t>
        </is>
      </c>
      <c r="D62" s="76" t="inlineStr">
        <is>
          <t>riteshlad127@gmail.com</t>
        </is>
      </c>
      <c r="E62" s="75" t="n"/>
      <c r="F62" s="75" t="inlineStr">
        <is>
          <t>Male</t>
        </is>
      </c>
      <c r="G62" s="77" t="inlineStr">
        <is>
          <t>15/03/2002</t>
        </is>
      </c>
      <c r="H62" s="75" t="inlineStr">
        <is>
          <t>AF131579</t>
        </is>
      </c>
      <c r="I62" s="75" t="inlineStr">
        <is>
          <t>9834235242</t>
        </is>
      </c>
      <c r="J62" s="78" t="inlineStr">
        <is>
          <t>17/09/2025</t>
        </is>
      </c>
      <c r="K62" s="78" t="inlineStr">
        <is>
          <t>02/10/2025</t>
        </is>
      </c>
      <c r="L62" s="50">
        <f>IF(K62&lt;&gt;"",K62-J62,TODAY()-DATE(MID(J62,7,4),MID(J62,4,2),LEFT(J62,2)))</f>
        <v/>
      </c>
      <c r="M62" s="51" t="inlineStr">
        <is>
          <t>APS Received</t>
        </is>
      </c>
      <c r="N62" s="79" t="n">
        <v>59.2</v>
      </c>
      <c r="O62" s="79" t="n">
        <v>75.67</v>
      </c>
      <c r="P62" s="79" t="inlineStr">
        <is>
          <t>BBA-CA</t>
        </is>
      </c>
      <c r="Q62" s="79" t="inlineStr">
        <is>
          <t>Sinhgad College of Arts and Commerce, Pune</t>
        </is>
      </c>
      <c r="R62" s="79" t="inlineStr">
        <is>
          <t>Pune</t>
        </is>
      </c>
      <c r="S62" s="79" t="inlineStr">
        <is>
          <t>Savitribai Phule Pune University</t>
        </is>
      </c>
      <c r="T62" s="79" t="n">
        <v>2024</v>
      </c>
      <c r="U62" s="79" t="inlineStr">
        <is>
          <t>7.9 CGPA</t>
        </is>
      </c>
      <c r="V62" s="96" t="inlineStr">
        <is>
          <t>principal_scoac@sinhgad.edu</t>
        </is>
      </c>
      <c r="W62" s="79" t="n"/>
      <c r="X62" s="79" t="n"/>
      <c r="Y62" s="79" t="n"/>
      <c r="Z62" s="79" t="n"/>
      <c r="AA62" s="79" t="n"/>
      <c r="AB62" s="79" t="n"/>
      <c r="AC62" s="79" t="n"/>
    </row>
    <row r="63" ht="29" customFormat="1" customHeight="1" s="43">
      <c r="A63" s="75" t="n">
        <v>60</v>
      </c>
      <c r="B63" s="75" t="n">
        <v>307579</v>
      </c>
      <c r="C63" s="75" t="inlineStr">
        <is>
          <t>Peter Palliparambilgerald</t>
        </is>
      </c>
      <c r="D63" s="73" t="inlineStr">
        <is>
          <t>peterpg_gerald@yahoo.co.in</t>
        </is>
      </c>
      <c r="E63" s="75" t="n"/>
      <c r="F63" s="75" t="inlineStr">
        <is>
          <t>Male</t>
        </is>
      </c>
      <c r="G63" s="77" t="inlineStr">
        <is>
          <t>29/07/1988</t>
        </is>
      </c>
      <c r="H63" s="75" t="inlineStr">
        <is>
          <t>S4066261</t>
        </is>
      </c>
      <c r="I63" s="75" t="inlineStr">
        <is>
          <t>8600700299</t>
        </is>
      </c>
      <c r="J63" s="78" t="inlineStr">
        <is>
          <t>29/07/2025</t>
        </is>
      </c>
      <c r="K63" s="78" t="inlineStr">
        <is>
          <t>27/10/2025</t>
        </is>
      </c>
      <c r="L63" s="50">
        <f>IF(K63&lt;&gt;"",K63-J63,TODAY()-DATE(MID(J63,7,4),MID(J63,4,2),LEFT(J63,2)))</f>
        <v/>
      </c>
      <c r="M63" s="51" t="inlineStr">
        <is>
          <t>APS Received</t>
        </is>
      </c>
      <c r="N63" s="79" t="n">
        <v>87</v>
      </c>
      <c r="O63" s="79" t="n">
        <v>86</v>
      </c>
      <c r="P63" s="79" t="inlineStr">
        <is>
          <t>B.Tech (Electronics and Communication)</t>
        </is>
      </c>
      <c r="Q63" s="79" t="inlineStr">
        <is>
          <t>AWH Engineering College</t>
        </is>
      </c>
      <c r="R63" s="79" t="inlineStr">
        <is>
          <t>Kozhikode</t>
        </is>
      </c>
      <c r="S63" s="79" t="inlineStr">
        <is>
          <t>University of Calicut</t>
        </is>
      </c>
      <c r="T63" s="79" t="n">
        <v>2009</v>
      </c>
      <c r="U63" s="79" t="inlineStr">
        <is>
          <t>72%</t>
        </is>
      </c>
      <c r="V63" s="96" t="inlineStr">
        <is>
          <t>principal@awhengg.org</t>
        </is>
      </c>
      <c r="W63" s="79" t="n"/>
      <c r="X63" s="79" t="n"/>
      <c r="Y63" s="79" t="n"/>
      <c r="Z63" s="79" t="n"/>
      <c r="AA63" s="79" t="n"/>
      <c r="AB63" s="79" t="n"/>
      <c r="AC63" s="79" t="n"/>
    </row>
    <row r="64" ht="42" customFormat="1" customHeight="1" s="43">
      <c r="A64" s="75" t="n">
        <v>61</v>
      </c>
      <c r="B64" s="75" t="n">
        <v>323488</v>
      </c>
      <c r="C64" s="75" t="inlineStr">
        <is>
          <t>Manasa Lakshmi Kranthi Nalla</t>
        </is>
      </c>
      <c r="D64" s="73" t="inlineStr">
        <is>
          <t>manasalakshmikranthinalla@gmail.com</t>
        </is>
      </c>
      <c r="E64" s="75" t="n"/>
      <c r="F64" s="75" t="inlineStr">
        <is>
          <t>Female</t>
        </is>
      </c>
      <c r="G64" s="77" t="inlineStr">
        <is>
          <t>12/07/2005</t>
        </is>
      </c>
      <c r="H64" s="75" t="inlineStr">
        <is>
          <t>AB170685</t>
        </is>
      </c>
      <c r="I64" s="75" t="inlineStr">
        <is>
          <t>8522011888</t>
        </is>
      </c>
      <c r="J64" s="78" t="inlineStr">
        <is>
          <t>06/11/2025</t>
        </is>
      </c>
      <c r="K64" s="78" t="inlineStr">
        <is>
          <t>13/11/2025</t>
        </is>
      </c>
      <c r="L64" s="50">
        <f>IF(K64&lt;&gt;"",K64-J64,TODAY()-DATE(MID(J64,7,4),MID(J64,4,2),LEFT(J64,2)))</f>
        <v/>
      </c>
      <c r="M64" s="51" t="inlineStr">
        <is>
          <t>APS Received</t>
        </is>
      </c>
      <c r="N64" s="79" t="n">
        <v>95</v>
      </c>
      <c r="O64" s="79" t="n">
        <v>47.4</v>
      </c>
      <c r="P64" s="79" t="inlineStr">
        <is>
          <t>Bachelor's (Honours)</t>
        </is>
      </c>
      <c r="Q64" s="79" t="inlineStr">
        <is>
          <t>Gayatri Vidya Parishad College for Degree and PG Courses</t>
        </is>
      </c>
      <c r="R64" s="79" t="inlineStr">
        <is>
          <t>Visakhapatnam</t>
        </is>
      </c>
      <c r="S64" s="79" t="inlineStr">
        <is>
          <t>Andhra University</t>
        </is>
      </c>
      <c r="T64" s="79" t="n">
        <v>2025</v>
      </c>
      <c r="U64" s="79" t="inlineStr">
        <is>
          <t>63%</t>
        </is>
      </c>
      <c r="V64" s="96" t="inlineStr">
        <is>
          <t>nagaraj@gvpcdpgc.edu.in</t>
        </is>
      </c>
      <c r="W64" s="79" t="n"/>
      <c r="X64" s="79" t="n"/>
      <c r="Y64" s="79" t="n"/>
      <c r="Z64" s="79" t="n"/>
      <c r="AA64" s="79" t="n"/>
      <c r="AB64" s="79" t="n"/>
      <c r="AC64" s="79" t="n"/>
    </row>
    <row r="65" ht="42" customFormat="1" customHeight="1" s="43">
      <c r="A65" s="75" t="n">
        <v>62</v>
      </c>
      <c r="B65" s="75" t="n">
        <v>315117</v>
      </c>
      <c r="C65" s="75" t="inlineStr">
        <is>
          <t>Anirudha Verma</t>
        </is>
      </c>
      <c r="D65" s="76" t="inlineStr">
        <is>
          <t>vanirudh871@gmail.com</t>
        </is>
      </c>
      <c r="E65" s="75" t="n"/>
      <c r="F65" s="75" t="inlineStr">
        <is>
          <t>Male</t>
        </is>
      </c>
      <c r="G65" s="77" t="inlineStr">
        <is>
          <t>03/09/2004</t>
        </is>
      </c>
      <c r="H65" s="75" t="inlineStr">
        <is>
          <t>ZA034554</t>
        </is>
      </c>
      <c r="I65" s="75" t="inlineStr">
        <is>
          <t>8269227993</t>
        </is>
      </c>
      <c r="J65" s="78" t="inlineStr">
        <is>
          <t>17/09/2025</t>
        </is>
      </c>
      <c r="K65" s="78" t="inlineStr">
        <is>
          <t>29/10/2025</t>
        </is>
      </c>
      <c r="L65" s="50">
        <f>IF(K65&lt;&gt;"",K65-J65,TODAY()-DATE(MID(J65,7,4),MID(J65,4,2),LEFT(J65,2)))</f>
        <v/>
      </c>
      <c r="M65" s="51" t="inlineStr">
        <is>
          <t>APS Received</t>
        </is>
      </c>
      <c r="N65" s="79" t="n">
        <v>85.40000000000001</v>
      </c>
      <c r="O65" s="79" t="n">
        <v>80.2</v>
      </c>
      <c r="P65" s="79" t="inlineStr">
        <is>
          <t>B.Com (Commerce)</t>
        </is>
      </c>
      <c r="Q65" s="79" t="inlineStr">
        <is>
          <t>GD Rungta College of Science and Technology</t>
        </is>
      </c>
      <c r="R65" s="79" t="inlineStr">
        <is>
          <t>Bhilai</t>
        </is>
      </c>
      <c r="S65" s="79" t="inlineStr">
        <is>
          <t>Hemchand Yadav University, Durg</t>
        </is>
      </c>
      <c r="T65" s="79" t="n">
        <v>2025</v>
      </c>
      <c r="U65" s="79" t="inlineStr">
        <is>
          <t>56%</t>
        </is>
      </c>
      <c r="V65" s="96" t="inlineStr">
        <is>
          <t>registrar@durgunversity.ac.in</t>
        </is>
      </c>
      <c r="W65" s="79" t="n"/>
      <c r="X65" s="79" t="n"/>
      <c r="Y65" s="79" t="n"/>
      <c r="Z65" s="79" t="n"/>
      <c r="AA65" s="79" t="n"/>
      <c r="AB65" s="79" t="n"/>
      <c r="AC65" s="79" t="n"/>
    </row>
    <row r="66" ht="29" customFormat="1" customHeight="1" s="43">
      <c r="A66" s="75" t="n">
        <v>63</v>
      </c>
      <c r="B66" s="75" t="n">
        <v>301620</v>
      </c>
      <c r="C66" s="75" t="inlineStr">
        <is>
          <t>Ankit Khari</t>
        </is>
      </c>
      <c r="D66" s="76" t="inlineStr">
        <is>
          <t>ankitkhari011@gmail.com</t>
        </is>
      </c>
      <c r="E66" s="75" t="n"/>
      <c r="F66" s="75" t="inlineStr">
        <is>
          <t>Male</t>
        </is>
      </c>
      <c r="G66" s="77" t="inlineStr">
        <is>
          <t>04/02/2003</t>
        </is>
      </c>
      <c r="H66" s="75" t="inlineStr">
        <is>
          <t>B7820363</t>
        </is>
      </c>
      <c r="I66" s="75" t="inlineStr">
        <is>
          <t>9350504800</t>
        </is>
      </c>
      <c r="J66" s="78" t="inlineStr">
        <is>
          <t>19/06/2025</t>
        </is>
      </c>
      <c r="K66" s="78" t="inlineStr">
        <is>
          <t>08/07/2025</t>
        </is>
      </c>
      <c r="L66" s="50">
        <f>IF(K66&lt;&gt;"",K66-J66,TODAY()-DATE(MID(J66,7,4),MID(J66,4,2),LEFT(J66,2)))</f>
        <v/>
      </c>
      <c r="M66" s="51" t="inlineStr">
        <is>
          <t>APS Received</t>
        </is>
      </c>
      <c r="N66" s="79" t="n">
        <v>64</v>
      </c>
      <c r="O66" s="79" t="n">
        <v>60.8</v>
      </c>
      <c r="P66" s="79" t="inlineStr">
        <is>
          <t>B.Pharmacy</t>
        </is>
      </c>
      <c r="Q66" s="79" t="inlineStr">
        <is>
          <t>Shoolini University</t>
        </is>
      </c>
      <c r="R66" s="79" t="inlineStr">
        <is>
          <t>Solan</t>
        </is>
      </c>
      <c r="S66" s="79" t="inlineStr">
        <is>
          <t>Shoolini University</t>
        </is>
      </c>
      <c r="T66" s="79" t="n">
        <v>2024</v>
      </c>
      <c r="U66" s="79" t="inlineStr">
        <is>
          <t>72.3% / 7.2 CGPA</t>
        </is>
      </c>
      <c r="V66" s="96" t="inlineStr">
        <is>
          <t>deanpharma@shooliniuniversity.com</t>
        </is>
      </c>
      <c r="W66" s="79" t="n"/>
      <c r="X66" s="79" t="n"/>
      <c r="Y66" s="79" t="n"/>
      <c r="Z66" s="79" t="n"/>
      <c r="AA66" s="79" t="n"/>
      <c r="AB66" s="79" t="n"/>
      <c r="AC66" s="79" t="n"/>
    </row>
    <row r="67" ht="70" customFormat="1" customHeight="1" s="43">
      <c r="A67" s="75" t="n">
        <v>64</v>
      </c>
      <c r="B67" s="75" t="n">
        <v>312775</v>
      </c>
      <c r="C67" s="75" t="inlineStr">
        <is>
          <t>Saartha Kabade</t>
        </is>
      </c>
      <c r="D67" s="76" t="inlineStr">
        <is>
          <t>saarthagkabade@gmail.com</t>
        </is>
      </c>
      <c r="E67" s="75" t="n"/>
      <c r="F67" s="75" t="inlineStr">
        <is>
          <t>Female</t>
        </is>
      </c>
      <c r="G67" s="77" t="inlineStr">
        <is>
          <t>19/03/2005</t>
        </is>
      </c>
      <c r="H67" s="75" t="inlineStr">
        <is>
          <t>I0153694</t>
        </is>
      </c>
      <c r="I67" s="75" t="inlineStr">
        <is>
          <t>9619324849</t>
        </is>
      </c>
      <c r="J67" s="78" t="inlineStr">
        <is>
          <t>02/09/2025</t>
        </is>
      </c>
      <c r="K67" s="78" t="inlineStr">
        <is>
          <t>09/09/2025</t>
        </is>
      </c>
      <c r="L67" s="50">
        <f>IF(K67&lt;&gt;"",K67-J67,TODAY()-DATE(MID(J67,7,4),MID(J67,4,2),LEFT(J67,2)))</f>
        <v/>
      </c>
      <c r="M67" s="51" t="inlineStr">
        <is>
          <t>APS Received</t>
        </is>
      </c>
      <c r="N67" s="79" t="n">
        <v>88</v>
      </c>
      <c r="O67" s="79" t="n">
        <v>58.33</v>
      </c>
      <c r="P67" s="79" t="inlineStr">
        <is>
          <t>B.Sc (Information Technology)</t>
        </is>
      </c>
      <c r="Q67" s="79" t="inlineStr">
        <is>
          <t>Bunts Sangha's S.M.Shetty College of Science, Commerce and Management Studies</t>
        </is>
      </c>
      <c r="R67" s="79" t="inlineStr">
        <is>
          <t>Mumbai</t>
        </is>
      </c>
      <c r="S67" s="79" t="inlineStr">
        <is>
          <t>University of Mumbai</t>
        </is>
      </c>
      <c r="T67" s="79" t="n">
        <v>2025</v>
      </c>
      <c r="U67" s="79" t="inlineStr">
        <is>
          <t>7.0 CGPA</t>
        </is>
      </c>
      <c r="V67" s="96" t="inlineStr">
        <is>
          <t>raveenas@smshettyinstitute.org</t>
        </is>
      </c>
      <c r="W67" s="79" t="n"/>
      <c r="X67" s="79" t="n"/>
      <c r="Y67" s="79" t="n"/>
      <c r="Z67" s="79" t="n"/>
      <c r="AA67" s="79" t="n"/>
      <c r="AB67" s="79" t="n"/>
      <c r="AC67" s="79" t="n"/>
    </row>
    <row r="68" ht="42" customFormat="1" customHeight="1" s="43">
      <c r="A68" s="75" t="n">
        <v>65</v>
      </c>
      <c r="B68" s="75" t="n">
        <v>314201</v>
      </c>
      <c r="C68" s="75" t="inlineStr">
        <is>
          <t>Prem Bauskar</t>
        </is>
      </c>
      <c r="D68" s="76" t="inlineStr">
        <is>
          <t>Bauskarprem2253@gmail.com</t>
        </is>
      </c>
      <c r="E68" s="75" t="n"/>
      <c r="F68" s="75" t="inlineStr">
        <is>
          <t>Male</t>
        </is>
      </c>
      <c r="G68" s="77" t="inlineStr">
        <is>
          <t>22/05/2003</t>
        </is>
      </c>
      <c r="H68" s="75" t="inlineStr">
        <is>
          <t>V2800394</t>
        </is>
      </c>
      <c r="I68" s="75" t="inlineStr">
        <is>
          <t>08850086650</t>
        </is>
      </c>
      <c r="J68" s="78" t="inlineStr">
        <is>
          <t>11/09/2025</t>
        </is>
      </c>
      <c r="K68" s="78" t="inlineStr">
        <is>
          <t>18/09/2025</t>
        </is>
      </c>
      <c r="L68" s="50">
        <f>IF(K68&lt;&gt;"",K68-J68,TODAY()-DATE(MID(J68,7,4),MID(J68,4,2),LEFT(J68,2)))</f>
        <v/>
      </c>
      <c r="M68" s="51" t="inlineStr">
        <is>
          <t>APS Received</t>
        </is>
      </c>
      <c r="N68" s="79" t="n">
        <v>74.2</v>
      </c>
      <c r="O68" s="79" t="n"/>
      <c r="P68" s="79" t="inlineStr">
        <is>
          <t>Instrumentation Engineering</t>
        </is>
      </c>
      <c r="Q68" s="79" t="inlineStr">
        <is>
          <t>Vivekanand Education Society's Institute of Technology</t>
        </is>
      </c>
      <c r="R68" s="79" t="inlineStr">
        <is>
          <t>Mumbai</t>
        </is>
      </c>
      <c r="S68" s="79" t="inlineStr">
        <is>
          <t>University of Mumbai</t>
        </is>
      </c>
      <c r="T68" s="79" t="n">
        <v>2025</v>
      </c>
      <c r="U68" s="79" t="inlineStr">
        <is>
          <t>59.55% / 6.3 CGPA</t>
        </is>
      </c>
      <c r="V68" s="96" t="inlineStr">
        <is>
          <t>sangeeta.prasannaram@ves.ac.in</t>
        </is>
      </c>
      <c r="W68" s="79" t="n"/>
      <c r="X68" s="79" t="n"/>
      <c r="Y68" s="79" t="n"/>
      <c r="Z68" s="79" t="n"/>
      <c r="AA68" s="79" t="n"/>
      <c r="AB68" s="79" t="n"/>
      <c r="AC68" s="79" t="n"/>
    </row>
    <row r="69" ht="42" customFormat="1" customHeight="1" s="43">
      <c r="A69" s="75" t="n">
        <v>66</v>
      </c>
      <c r="B69" s="75" t="n">
        <v>306278</v>
      </c>
      <c r="C69" s="75" t="inlineStr">
        <is>
          <t>Jyothsna Devi Addala</t>
        </is>
      </c>
      <c r="D69" s="76" t="inlineStr">
        <is>
          <t>jyothsnaaddala@gmail.com</t>
        </is>
      </c>
      <c r="E69" s="75" t="n"/>
      <c r="F69" s="75" t="inlineStr">
        <is>
          <t>Female</t>
        </is>
      </c>
      <c r="G69" s="77" t="inlineStr">
        <is>
          <t>18/06/2003</t>
        </is>
      </c>
      <c r="H69" s="75" t="inlineStr">
        <is>
          <t>C9997039</t>
        </is>
      </c>
      <c r="I69" s="75" t="inlineStr">
        <is>
          <t>7989899802</t>
        </is>
      </c>
      <c r="J69" s="78" t="inlineStr">
        <is>
          <t>19/07/2025</t>
        </is>
      </c>
      <c r="K69" s="78" t="inlineStr">
        <is>
          <t>30/10/2025</t>
        </is>
      </c>
      <c r="L69" s="50">
        <f>IF(K69&lt;&gt;"",K69-J69,TODAY()-DATE(MID(J69,7,4),MID(J69,4,2),LEFT(J69,2)))</f>
        <v/>
      </c>
      <c r="M69" s="51" t="inlineStr">
        <is>
          <t>APS Received</t>
        </is>
      </c>
      <c r="N69" s="79" t="n">
        <v>64</v>
      </c>
      <c r="O69" s="79" t="n">
        <v>76</v>
      </c>
      <c r="P69" s="79" t="inlineStr">
        <is>
          <t>B.Tech (Computer Science and Engineering)</t>
        </is>
      </c>
      <c r="Q69" s="79" t="inlineStr">
        <is>
          <t>University College of Engineering UCEN-JNTUK</t>
        </is>
      </c>
      <c r="R69" s="79" t="inlineStr">
        <is>
          <t>Kakinada</t>
        </is>
      </c>
      <c r="S69" s="79" t="inlineStr">
        <is>
          <t>Jawaharlal Nehru Technological University, JNTUK</t>
        </is>
      </c>
      <c r="T69" s="79" t="n">
        <v>2025</v>
      </c>
      <c r="U69" s="79" t="inlineStr">
        <is>
          <t>63.03%</t>
        </is>
      </c>
      <c r="V69" s="96" t="inlineStr">
        <is>
          <t>principal@jntukucen.ac.in</t>
        </is>
      </c>
      <c r="W69" s="79" t="n"/>
      <c r="X69" s="79" t="n"/>
      <c r="Y69" s="79" t="n"/>
      <c r="Z69" s="79" t="n"/>
      <c r="AA69" s="79" t="n"/>
      <c r="AB69" s="79" t="n"/>
      <c r="AC69" s="79" t="n"/>
    </row>
    <row r="70" ht="42" customFormat="1" customHeight="1" s="43">
      <c r="A70" s="75" t="n">
        <v>67</v>
      </c>
      <c r="B70" s="75" t="n">
        <v>317980</v>
      </c>
      <c r="C70" s="75" t="inlineStr">
        <is>
          <t>Akshaya Rao Rachakonda</t>
        </is>
      </c>
      <c r="D70" s="76" t="inlineStr">
        <is>
          <t>rachakondaakshayarao@gmail.com</t>
        </is>
      </c>
      <c r="E70" s="75" t="n"/>
      <c r="F70" s="75" t="inlineStr">
        <is>
          <t>Female</t>
        </is>
      </c>
      <c r="G70" s="77" t="inlineStr">
        <is>
          <t>02/11/2003</t>
        </is>
      </c>
      <c r="H70" s="75" t="inlineStr">
        <is>
          <t>AB045419</t>
        </is>
      </c>
      <c r="I70" s="75" t="inlineStr">
        <is>
          <t>9494244203</t>
        </is>
      </c>
      <c r="J70" s="78" t="inlineStr">
        <is>
          <t>06/10/2025</t>
        </is>
      </c>
      <c r="K70" s="78" t="inlineStr">
        <is>
          <t>21/10/2025</t>
        </is>
      </c>
      <c r="L70" s="50">
        <f>IF(K70&lt;&gt;"",K70-J70,TODAY()-DATE(MID(J70,7,4),MID(J70,4,2),LEFT(J70,2)))</f>
        <v/>
      </c>
      <c r="M70" s="51" t="inlineStr">
        <is>
          <t>APS Received</t>
        </is>
      </c>
      <c r="N70" s="79" t="n">
        <v>82.65000000000001</v>
      </c>
      <c r="O70" s="79" t="n"/>
      <c r="P70" s="79" t="inlineStr">
        <is>
          <t>B.Tech CSE (Data Science)</t>
        </is>
      </c>
      <c r="Q70" s="79" t="inlineStr">
        <is>
          <t>Institute of Aeronautical Engineering (IARE)</t>
        </is>
      </c>
      <c r="R70" s="79" t="inlineStr">
        <is>
          <t>Hyderabad</t>
        </is>
      </c>
      <c r="S70" s="79" t="inlineStr">
        <is>
          <t>Jawaharlal Nehru Technological University Hyderabad</t>
        </is>
      </c>
      <c r="T70" s="79" t="n">
        <v>2025</v>
      </c>
      <c r="U70" s="79" t="inlineStr">
        <is>
          <t>72.48% / 7.6 CGPA</t>
        </is>
      </c>
      <c r="V70" s="96" t="inlineStr">
        <is>
          <t>hod-es@iare.ac.in</t>
        </is>
      </c>
      <c r="W70" s="79" t="n"/>
      <c r="X70" s="79" t="n"/>
      <c r="Y70" s="79" t="n"/>
      <c r="Z70" s="79" t="n"/>
      <c r="AA70" s="79" t="n"/>
      <c r="AB70" s="79" t="n"/>
      <c r="AC70" s="79" t="n"/>
    </row>
    <row r="71" ht="42" customFormat="1" customHeight="1" s="43">
      <c r="A71" s="75" t="n">
        <v>68</v>
      </c>
      <c r="B71" s="75" t="n">
        <v>318691</v>
      </c>
      <c r="C71" s="75" t="inlineStr">
        <is>
          <t>Chandramohan S</t>
        </is>
      </c>
      <c r="D71" s="76" t="inlineStr">
        <is>
          <t>chandramohan.analytics@gmail.com</t>
        </is>
      </c>
      <c r="E71" s="75" t="n"/>
      <c r="F71" s="75" t="inlineStr">
        <is>
          <t>Male</t>
        </is>
      </c>
      <c r="G71" s="77" t="inlineStr">
        <is>
          <t>31/07/2004</t>
        </is>
      </c>
      <c r="H71" s="75" t="inlineStr">
        <is>
          <t>Z7944371</t>
        </is>
      </c>
      <c r="I71" s="75" t="inlineStr">
        <is>
          <t>9043145633</t>
        </is>
      </c>
      <c r="J71" s="78" t="inlineStr">
        <is>
          <t>08/10/2025</t>
        </is>
      </c>
      <c r="K71" s="78" t="inlineStr">
        <is>
          <t>22/10/2025</t>
        </is>
      </c>
      <c r="L71" s="50">
        <f>IF(K71&lt;&gt;"",K71-J71,TODAY()-DATE(MID(J71,7,4),MID(J71,4,2),LEFT(J71,2)))</f>
        <v/>
      </c>
      <c r="M71" s="51" t="inlineStr">
        <is>
          <t>APS Received</t>
        </is>
      </c>
      <c r="N71" s="79" t="n">
        <v>86.2</v>
      </c>
      <c r="O71" s="79" t="n">
        <v>87.38</v>
      </c>
      <c r="P71" s="79" t="inlineStr">
        <is>
          <t>B.Tech (Artificial Intelligence and Data Science)</t>
        </is>
      </c>
      <c r="Q71" s="79" t="inlineStr">
        <is>
          <t>Jeppiaar Engineering College</t>
        </is>
      </c>
      <c r="R71" s="79" t="inlineStr">
        <is>
          <t>Chennai</t>
        </is>
      </c>
      <c r="S71" s="79" t="inlineStr">
        <is>
          <t>Anna University</t>
        </is>
      </c>
      <c r="T71" s="79" t="n">
        <v>2025</v>
      </c>
      <c r="U71" s="79" t="inlineStr">
        <is>
          <t>69.3% / 7.3 CGPA</t>
        </is>
      </c>
      <c r="V71" s="96" t="inlineStr">
        <is>
          <t>chenthiltr@jeppiaarcollege.org</t>
        </is>
      </c>
      <c r="W71" s="79" t="n"/>
      <c r="X71" s="79" t="n"/>
      <c r="Y71" s="79" t="n"/>
      <c r="Z71" s="79" t="n"/>
      <c r="AA71" s="79" t="n"/>
      <c r="AB71" s="79" t="n"/>
      <c r="AC71" s="79" t="n"/>
    </row>
    <row r="72" ht="29" customFormat="1" customHeight="1" s="43">
      <c r="A72" s="75" t="n">
        <v>69</v>
      </c>
      <c r="B72" s="75" t="n">
        <v>314993</v>
      </c>
      <c r="C72" s="75" t="inlineStr">
        <is>
          <t>Ajaybhan Singh</t>
        </is>
      </c>
      <c r="D72" s="76" t="inlineStr">
        <is>
          <t>ajaybhan.singh@gmail.com</t>
        </is>
      </c>
      <c r="E72" s="75" t="n"/>
      <c r="F72" s="75" t="inlineStr">
        <is>
          <t>Male</t>
        </is>
      </c>
      <c r="G72" s="77" t="inlineStr">
        <is>
          <t>24/05/1995</t>
        </is>
      </c>
      <c r="H72" s="75" t="inlineStr">
        <is>
          <t>U6472134</t>
        </is>
      </c>
      <c r="I72" s="75" t="inlineStr">
        <is>
          <t>9314296930</t>
        </is>
      </c>
      <c r="J72" s="78" t="inlineStr">
        <is>
          <t>16/09/2025</t>
        </is>
      </c>
      <c r="K72" s="78" t="inlineStr">
        <is>
          <t>09/10/2025</t>
        </is>
      </c>
      <c r="L72" s="50">
        <f>IF(K72&lt;&gt;"",K72-J72,TODAY()-DATE(MID(J72,7,4),MID(J72,4,2),LEFT(J72,2)))</f>
        <v/>
      </c>
      <c r="M72" s="51" t="inlineStr">
        <is>
          <t>APS Received</t>
        </is>
      </c>
      <c r="N72" s="79" t="n">
        <v>5.6</v>
      </c>
      <c r="O72" s="79" t="n">
        <v>56</v>
      </c>
      <c r="P72" s="79" t="inlineStr">
        <is>
          <t>Bachelor's (Hospitality)</t>
        </is>
      </c>
      <c r="Q72" s="79" t="inlineStr">
        <is>
          <t>IHM Gwalior</t>
        </is>
      </c>
      <c r="R72" s="79" t="inlineStr">
        <is>
          <t>Gwalior</t>
        </is>
      </c>
      <c r="S72" s="79" t="inlineStr">
        <is>
          <t>Indira Gandhi National Open University</t>
        </is>
      </c>
      <c r="T72" s="79" t="n">
        <v>2021</v>
      </c>
      <c r="U72" s="79" t="inlineStr">
        <is>
          <t>58.38%</t>
        </is>
      </c>
      <c r="V72" s="96" t="n"/>
      <c r="W72" s="79" t="n"/>
      <c r="X72" s="79" t="n"/>
      <c r="Y72" s="79" t="n"/>
      <c r="Z72" s="79" t="n"/>
      <c r="AA72" s="79" t="n"/>
      <c r="AB72" s="79" t="n"/>
      <c r="AC72" s="79" t="n"/>
    </row>
    <row r="73" ht="29" customFormat="1" customHeight="1" s="43">
      <c r="A73" s="75" t="n">
        <v>70</v>
      </c>
      <c r="B73" s="75" t="n">
        <v>308944</v>
      </c>
      <c r="C73" s="75" t="inlineStr">
        <is>
          <t>Rohan R J</t>
        </is>
      </c>
      <c r="D73" s="76" t="inlineStr">
        <is>
          <t>rohanrjedu@gmail.com</t>
        </is>
      </c>
      <c r="E73" s="75" t="n"/>
      <c r="F73" s="75" t="inlineStr">
        <is>
          <t>Male</t>
        </is>
      </c>
      <c r="G73" s="77" t="inlineStr">
        <is>
          <t>04/11/2002</t>
        </is>
      </c>
      <c r="H73" s="75" t="inlineStr">
        <is>
          <t>C4038464</t>
        </is>
      </c>
      <c r="I73" s="75" t="inlineStr">
        <is>
          <t>08088018968</t>
        </is>
      </c>
      <c r="J73" s="78" t="inlineStr">
        <is>
          <t>13/08/2025</t>
        </is>
      </c>
      <c r="K73" s="78" t="inlineStr">
        <is>
          <t>23/09/2025</t>
        </is>
      </c>
      <c r="L73" s="50">
        <f>IF(K73&lt;&gt;"",K73-J73,TODAY()-DATE(MID(J73,7,4),MID(J73,4,2),LEFT(J73,2)))</f>
        <v/>
      </c>
      <c r="M73" s="51" t="inlineStr">
        <is>
          <t>APS Received</t>
        </is>
      </c>
      <c r="N73" s="79" t="n">
        <v>44.32</v>
      </c>
      <c r="O73" s="79" t="n">
        <v>58.5</v>
      </c>
      <c r="P73" s="79" t="inlineStr">
        <is>
          <t>BCA (Computer Applications)</t>
        </is>
      </c>
      <c r="Q73" s="79" t="inlineStr">
        <is>
          <t>Sharada College Thalapady, Mangalore</t>
        </is>
      </c>
      <c r="R73" s="79" t="inlineStr">
        <is>
          <t>Mangalore</t>
        </is>
      </c>
      <c r="S73" s="79" t="inlineStr">
        <is>
          <t>Mangalore University</t>
        </is>
      </c>
      <c r="T73" s="79" t="n">
        <v>2024</v>
      </c>
      <c r="U73" s="79" t="inlineStr">
        <is>
          <t>73.26% / 9.0 CGPA</t>
        </is>
      </c>
      <c r="V73" s="96" t="inlineStr">
        <is>
          <t>sharadacollege@sharadagroup.in</t>
        </is>
      </c>
      <c r="W73" s="79" t="n"/>
      <c r="X73" s="79" t="n"/>
      <c r="Y73" s="79" t="n"/>
      <c r="Z73" s="79" t="n"/>
      <c r="AA73" s="79" t="n"/>
      <c r="AB73" s="79" t="n"/>
      <c r="AC73" s="79" t="n"/>
    </row>
    <row r="74" ht="29" customFormat="1" customHeight="1" s="43">
      <c r="A74" s="75" t="n">
        <v>71</v>
      </c>
      <c r="B74" s="75" t="n">
        <v>297118</v>
      </c>
      <c r="C74" s="75" t="inlineStr">
        <is>
          <t>Sanjna Kurakula</t>
        </is>
      </c>
      <c r="D74" s="76" t="inlineStr">
        <is>
          <t>sanjna.kurakula@gmail.com</t>
        </is>
      </c>
      <c r="E74" s="75" t="n"/>
      <c r="F74" s="75" t="inlineStr">
        <is>
          <t>Female</t>
        </is>
      </c>
      <c r="G74" s="77" t="inlineStr">
        <is>
          <t>15/07/2001</t>
        </is>
      </c>
      <c r="H74" s="75" t="inlineStr">
        <is>
          <t>P3922719</t>
        </is>
      </c>
      <c r="I74" s="75" t="inlineStr">
        <is>
          <t>9000477159</t>
        </is>
      </c>
      <c r="J74" s="78" t="inlineStr">
        <is>
          <t>22/05/2025</t>
        </is>
      </c>
      <c r="K74" s="78" t="inlineStr">
        <is>
          <t>02/07/2025</t>
        </is>
      </c>
      <c r="L74" s="50">
        <f>IF(K74&lt;&gt;"",K74-J74,TODAY()-DATE(MID(J74,7,4),MID(J74,4,2),LEFT(J74,2)))</f>
        <v/>
      </c>
      <c r="M74" s="51" t="inlineStr">
        <is>
          <t>APS Received</t>
        </is>
      </c>
      <c r="N74" s="79" t="n">
        <v>9.4</v>
      </c>
      <c r="O74" s="79" t="n"/>
      <c r="P74" s="79" t="inlineStr">
        <is>
          <t>B.Com (Hons)</t>
        </is>
      </c>
      <c r="Q74" s="79" t="n"/>
      <c r="R74" s="79" t="inlineStr">
        <is>
          <t>Hyderabad</t>
        </is>
      </c>
      <c r="S74" s="79" t="inlineStr">
        <is>
          <t>Osmania University</t>
        </is>
      </c>
      <c r="T74" s="79" t="n">
        <v>2022</v>
      </c>
      <c r="U74" s="79" t="inlineStr">
        <is>
          <t>9.3 CGPA</t>
        </is>
      </c>
      <c r="V74" s="96" t="n"/>
      <c r="W74" s="79" t="n"/>
      <c r="X74" s="79" t="n"/>
      <c r="Y74" s="79" t="n"/>
      <c r="Z74" s="79" t="n"/>
      <c r="AA74" s="79" t="n"/>
      <c r="AB74" s="79" t="n"/>
      <c r="AC74" s="79" t="n"/>
    </row>
    <row r="75" ht="29" customFormat="1" customHeight="1" s="43">
      <c r="A75" s="75" t="n">
        <v>72</v>
      </c>
      <c r="B75" s="75" t="n">
        <v>303919</v>
      </c>
      <c r="C75" s="75" t="inlineStr">
        <is>
          <t>Shruti Metkar</t>
        </is>
      </c>
      <c r="D75" s="76" t="inlineStr">
        <is>
          <t>shrutimetkar4@gmail.com</t>
        </is>
      </c>
      <c r="E75" s="75" t="n"/>
      <c r="F75" s="75" t="inlineStr">
        <is>
          <t>Female</t>
        </is>
      </c>
      <c r="G75" s="77" t="inlineStr">
        <is>
          <t>04/11/1997</t>
        </is>
      </c>
      <c r="H75" s="75" t="inlineStr">
        <is>
          <t>B9648499</t>
        </is>
      </c>
      <c r="I75" s="75" t="inlineStr">
        <is>
          <t>08600272759</t>
        </is>
      </c>
      <c r="J75" s="78" t="inlineStr">
        <is>
          <t>03/07/2025</t>
        </is>
      </c>
      <c r="K75" s="78" t="inlineStr">
        <is>
          <t>16/07/2025</t>
        </is>
      </c>
      <c r="L75" s="50">
        <f>IF(K75&lt;&gt;"",K75-J75,TODAY()-DATE(MID(J75,7,4),MID(J75,4,2),LEFT(J75,2)))</f>
        <v/>
      </c>
      <c r="M75" s="51" t="inlineStr">
        <is>
          <t>APS Received</t>
        </is>
      </c>
      <c r="N75" s="79" t="n">
        <v>6.2</v>
      </c>
      <c r="O75" s="79" t="n">
        <v>58.46</v>
      </c>
      <c r="P75" s="79" t="inlineStr">
        <is>
          <t>B.Com (Applied Statistics)</t>
        </is>
      </c>
      <c r="Q75" s="79" t="inlineStr">
        <is>
          <t>BYK College of Commerce</t>
        </is>
      </c>
      <c r="R75" s="79" t="inlineStr">
        <is>
          <t>Nashik</t>
        </is>
      </c>
      <c r="S75" s="79" t="inlineStr">
        <is>
          <t>Savitribai Phule Pune University</t>
        </is>
      </c>
      <c r="T75" s="79" t="n">
        <v>2020</v>
      </c>
      <c r="U75" s="79" t="inlineStr">
        <is>
          <t>56.58%</t>
        </is>
      </c>
      <c r="V75" s="96" t="inlineStr">
        <is>
          <t>gesbyk@gmail.com</t>
        </is>
      </c>
      <c r="W75" s="79" t="n"/>
      <c r="X75" s="79" t="n"/>
      <c r="Y75" s="79" t="n"/>
      <c r="Z75" s="79" t="n"/>
      <c r="AA75" s="79" t="n"/>
      <c r="AB75" s="79" t="n"/>
      <c r="AC75" s="79" t="n"/>
    </row>
    <row r="76" ht="29" customFormat="1" customHeight="1" s="43">
      <c r="A76" s="75" t="n">
        <v>73</v>
      </c>
      <c r="B76" s="75" t="n">
        <v>303916</v>
      </c>
      <c r="C76" s="75" t="inlineStr">
        <is>
          <t>Ayush Ghumare</t>
        </is>
      </c>
      <c r="D76" s="73" t="inlineStr">
        <is>
          <t>ayushghumare2003@gmail.com0</t>
        </is>
      </c>
      <c r="E76" s="75" t="n"/>
      <c r="F76" s="75" t="inlineStr">
        <is>
          <t>Male</t>
        </is>
      </c>
      <c r="G76" s="77" t="inlineStr">
        <is>
          <t>25/01/2003</t>
        </is>
      </c>
      <c r="H76" s="75" t="inlineStr">
        <is>
          <t>B9198340</t>
        </is>
      </c>
      <c r="I76" s="75" t="inlineStr">
        <is>
          <t>7385297665</t>
        </is>
      </c>
      <c r="J76" s="78" t="inlineStr">
        <is>
          <t>03/07/2025</t>
        </is>
      </c>
      <c r="K76" s="78" t="inlineStr">
        <is>
          <t>04/08/2025</t>
        </is>
      </c>
      <c r="L76" s="50">
        <f>IF(K76&lt;&gt;"",K76-J76,TODAY()-DATE(MID(J76,7,4),MID(J76,4,2),LEFT(J76,2)))</f>
        <v/>
      </c>
      <c r="M76" s="51" t="inlineStr">
        <is>
          <t>APS Received</t>
        </is>
      </c>
      <c r="N76" s="79" t="n">
        <v>75</v>
      </c>
      <c r="O76" s="79" t="n">
        <v>83</v>
      </c>
      <c r="P76" s="79" t="inlineStr">
        <is>
          <t>B.Sc (3D Animation)</t>
        </is>
      </c>
      <c r="Q76" s="79" t="inlineStr">
        <is>
          <t>K.T.H.M College</t>
        </is>
      </c>
      <c r="R76" s="79" t="inlineStr">
        <is>
          <t>Nashik</t>
        </is>
      </c>
      <c r="S76" s="79" t="inlineStr">
        <is>
          <t>Savitribai Phule Pune University</t>
        </is>
      </c>
      <c r="T76" s="79" t="n">
        <v>2024</v>
      </c>
      <c r="U76" s="79" t="inlineStr">
        <is>
          <t>8.5 CGPA</t>
        </is>
      </c>
      <c r="V76" s="96" t="inlineStr">
        <is>
          <t>srcollege.kthm@mvp.edu.in</t>
        </is>
      </c>
      <c r="W76" s="79" t="n"/>
      <c r="X76" s="79" t="n"/>
      <c r="Y76" s="79" t="n"/>
      <c r="Z76" s="79" t="n"/>
      <c r="AA76" s="79" t="n"/>
      <c r="AB76" s="79" t="n"/>
      <c r="AC76" s="79" t="n"/>
    </row>
    <row r="77" ht="29" customFormat="1" customHeight="1" s="43">
      <c r="A77" s="66" t="n">
        <v>74</v>
      </c>
      <c r="B77" s="66" t="n">
        <v>302850</v>
      </c>
      <c r="C77" s="66" t="inlineStr">
        <is>
          <t>Bathina Dharani</t>
        </is>
      </c>
      <c r="D77" s="73" t="inlineStr">
        <is>
          <t>bdharani661@gmail.com</t>
        </is>
      </c>
      <c r="E77" s="66" t="n"/>
      <c r="F77" s="66" t="inlineStr">
        <is>
          <t>Female</t>
        </is>
      </c>
      <c r="G77" s="68" t="n">
        <v>36986</v>
      </c>
      <c r="H77" s="66" t="inlineStr">
        <is>
          <t>B8914329</t>
        </is>
      </c>
      <c r="I77" s="66" t="n">
        <v>7207841507</v>
      </c>
      <c r="J77" s="70" t="inlineStr">
        <is>
          <t>27/07/2025</t>
        </is>
      </c>
      <c r="K77" s="70" t="inlineStr">
        <is>
          <t>07/10/2025</t>
        </is>
      </c>
      <c r="L77" s="50">
        <f>IF(K77&lt;&gt;"",K77-J77,TODAY()-DATE(MID(J77,7,4),MID(J77,4,2),LEFT(J77,2)))</f>
        <v/>
      </c>
      <c r="M77" s="51" t="inlineStr">
        <is>
          <t>APS Received</t>
        </is>
      </c>
      <c r="N77" s="43" t="n">
        <v>85</v>
      </c>
      <c r="O77" s="43" t="n">
        <v>63</v>
      </c>
      <c r="P77" s="43" t="inlineStr">
        <is>
          <t>B.A (Political Science)</t>
        </is>
      </c>
      <c r="Q77" s="43" t="inlineStr">
        <is>
          <t xml:space="preserve">St. Francis College for Women </t>
        </is>
      </c>
      <c r="R77" s="43" t="inlineStr">
        <is>
          <t>Begumpet</t>
        </is>
      </c>
      <c r="S77" s="43" t="inlineStr">
        <is>
          <t>Osmania University</t>
        </is>
      </c>
      <c r="T77" s="43" t="n">
        <v>2023</v>
      </c>
      <c r="U77" s="43" t="inlineStr">
        <is>
          <t>7.2 CGPA</t>
        </is>
      </c>
      <c r="V77" s="73" t="inlineStr">
        <is>
          <t>121320003030@FSC.IN</t>
        </is>
      </c>
    </row>
    <row r="78" ht="42" customFormat="1" customHeight="1" s="43">
      <c r="A78" s="66" t="n">
        <v>74</v>
      </c>
      <c r="B78" s="66" t="n">
        <v>354471</v>
      </c>
      <c r="C78" s="66" t="inlineStr">
        <is>
          <t>Atharva Kumbhar</t>
        </is>
      </c>
      <c r="D78" s="66" t="inlineStr">
        <is>
          <t>atharvapkumbhar@gmail.com</t>
        </is>
      </c>
      <c r="E78" s="66" t="n"/>
      <c r="F78" s="66" t="inlineStr">
        <is>
          <t>Male</t>
        </is>
      </c>
      <c r="G78" s="68" t="n">
        <v>37880</v>
      </c>
      <c r="H78" s="66" t="inlineStr">
        <is>
          <t>AJ512651</t>
        </is>
      </c>
      <c r="I78" s="66" t="n">
        <v>7738396768</v>
      </c>
      <c r="J78" s="70" t="inlineStr">
        <is>
          <t>24/04/2026</t>
        </is>
      </c>
      <c r="K78" s="70" t="n"/>
      <c r="L78" s="50">
        <f>IF(K78&lt;&gt;"",K78-J78,TODAY()-DATE(MID(J78,7,4),MID(J78,4,2),LEFT(J78,2)))</f>
        <v/>
      </c>
      <c r="M78" s="51" t="inlineStr">
        <is>
          <t>Pending</t>
        </is>
      </c>
      <c r="N78" s="43" t="n">
        <v>76.8</v>
      </c>
      <c r="O78" s="43" t="n">
        <v>69.5</v>
      </c>
      <c r="P78" s="43" t="inlineStr">
        <is>
          <t>BMS (Marketing)</t>
        </is>
      </c>
      <c r="Q78" s="43" t="inlineStr">
        <is>
          <t>Ramsheth Thakur College of Science and Commerce</t>
        </is>
      </c>
      <c r="R78" s="43" t="inlineStr">
        <is>
          <t>Navi Mumbai</t>
        </is>
      </c>
      <c r="S78" s="43" t="inlineStr">
        <is>
          <t>University of Mumbai</t>
        </is>
      </c>
      <c r="T78" s="43" t="n">
        <v>2024</v>
      </c>
      <c r="U78" s="43" t="inlineStr">
        <is>
          <t>6.5 CGPA</t>
        </is>
      </c>
    </row>
    <row r="79" ht="42" customFormat="1" customHeight="1" s="43">
      <c r="A79" s="66" t="n">
        <v>75</v>
      </c>
      <c r="B79" s="66" t="n">
        <v>355271</v>
      </c>
      <c r="C79" s="66" t="inlineStr">
        <is>
          <t>Hemachandar Gunashekaran</t>
        </is>
      </c>
      <c r="D79" s="66" t="inlineStr">
        <is>
          <t>hemg1698@gmail.com</t>
        </is>
      </c>
      <c r="E79" s="66" t="n"/>
      <c r="F79" s="66" t="inlineStr">
        <is>
          <t>Male</t>
        </is>
      </c>
      <c r="G79" s="68" t="n">
        <v>36054</v>
      </c>
      <c r="H79" s="66" t="inlineStr">
        <is>
          <t>P2318427</t>
        </is>
      </c>
      <c r="I79" s="66" t="n">
        <v>7548818511</v>
      </c>
      <c r="J79" s="70" t="inlineStr">
        <is>
          <t>30/04/2026</t>
        </is>
      </c>
      <c r="K79" s="70" t="n"/>
      <c r="L79" s="50">
        <f>IF(K79&lt;&gt;"",K79-J79,TODAY()-DATE(MID(J79,7,4),MID(J79,4,2),LEFT(J79,2)))</f>
        <v/>
      </c>
      <c r="M79" s="51" t="inlineStr">
        <is>
          <t>Pending</t>
        </is>
      </c>
      <c r="N79" s="43" t="n">
        <v>72</v>
      </c>
      <c r="O79" s="43" t="n">
        <v>81</v>
      </c>
      <c r="P79" s="43" t="inlineStr">
        <is>
          <t>BCA LLB (Hons)</t>
        </is>
      </c>
      <c r="Q79" s="43" t="inlineStr">
        <is>
          <t>School of Excellence in Law</t>
        </is>
      </c>
      <c r="R79" s="43" t="inlineStr">
        <is>
          <t>Chennai</t>
        </is>
      </c>
      <c r="S79" s="43" t="inlineStr">
        <is>
          <t>The Tamil Nadu Dr Ambedkar Law University</t>
        </is>
      </c>
      <c r="T79" s="43" t="n">
        <v>2021</v>
      </c>
      <c r="U79" s="43" t="inlineStr">
        <is>
          <t>58.64% / 5.4 CGPA</t>
        </is>
      </c>
    </row>
    <row r="80" ht="56" customFormat="1" customHeight="1" s="43">
      <c r="A80" s="66" t="n">
        <v>76</v>
      </c>
      <c r="B80" s="66" t="n">
        <v>354500</v>
      </c>
      <c r="C80" s="66" t="inlineStr">
        <is>
          <t>Anishka Bodhare</t>
        </is>
      </c>
      <c r="D80" s="66" t="inlineStr">
        <is>
          <t>anishkabodhare009@gmail.com</t>
        </is>
      </c>
      <c r="E80" s="66" t="n"/>
      <c r="F80" s="66" t="inlineStr">
        <is>
          <t>Female</t>
        </is>
      </c>
      <c r="G80" s="68" t="n">
        <v>37415</v>
      </c>
      <c r="H80" s="66" t="inlineStr">
        <is>
          <t>V8897055</t>
        </is>
      </c>
      <c r="I80" s="66" t="n">
        <v>8669513157</v>
      </c>
      <c r="J80" s="70" t="inlineStr">
        <is>
          <t>24/04/2026</t>
        </is>
      </c>
      <c r="K80" s="70" t="n"/>
      <c r="L80" s="50">
        <f>IF(K80&lt;&gt;"",K80-J80,TODAY()-DATE(MID(J80,7,4),MID(J80,4,2),LEFT(J80,2)))</f>
        <v/>
      </c>
      <c r="M80" s="51" t="inlineStr">
        <is>
          <t>Pending</t>
        </is>
      </c>
      <c r="N80" s="43" t="n">
        <v>59.16</v>
      </c>
      <c r="O80" s="43" t="n">
        <v>63.6</v>
      </c>
      <c r="P80" s="43" t="inlineStr">
        <is>
          <t>B.Com (Financial Accounting &amp; Auditing)</t>
        </is>
      </c>
      <c r="Q80" s="43" t="inlineStr">
        <is>
          <t>Shri Sidh Thakurnath College of Arts &amp; Commerce</t>
        </is>
      </c>
      <c r="R80" s="43" t="inlineStr">
        <is>
          <t>Ambarnath</t>
        </is>
      </c>
      <c r="S80" s="43" t="inlineStr">
        <is>
          <t>University of Mumbai</t>
        </is>
      </c>
      <c r="T80" s="43" t="n">
        <v>2023</v>
      </c>
      <c r="U80" s="43" t="inlineStr">
        <is>
          <t>8.0 CGPA</t>
        </is>
      </c>
      <c r="V80" s="43" t="inlineStr">
        <is>
          <t>varshasawlani@sstcollege.edu.in</t>
        </is>
      </c>
      <c r="W80" s="43" t="inlineStr">
        <is>
          <t>MBA (HR &amp; Finance)</t>
        </is>
      </c>
      <c r="X80" s="43" t="inlineStr">
        <is>
          <t>Janaki Devi Bajaj Institute of Management Studies &amp; Research</t>
        </is>
      </c>
      <c r="Y80" s="43" t="inlineStr">
        <is>
          <t>Shreemati Nathibai Damodar Thacmersey Women's University</t>
        </is>
      </c>
      <c r="AA80" s="43" t="inlineStr">
        <is>
          <t>9.0 CGPA</t>
        </is>
      </c>
    </row>
    <row r="81" ht="28" customFormat="1" customHeight="1" s="43">
      <c r="A81" s="66" t="n">
        <v>77</v>
      </c>
      <c r="B81" s="66" t="n">
        <v>355697</v>
      </c>
      <c r="C81" s="66" t="inlineStr">
        <is>
          <t>Aman Thakur</t>
        </is>
      </c>
      <c r="D81" s="66" t="inlineStr">
        <is>
          <t>amanthakur961@gmail.com</t>
        </is>
      </c>
      <c r="E81" s="66" t="n"/>
      <c r="F81" s="66" t="inlineStr">
        <is>
          <t>Male</t>
        </is>
      </c>
      <c r="G81" s="68" t="n">
        <v>36787</v>
      </c>
      <c r="H81" s="66" t="inlineStr">
        <is>
          <t>X8875418</t>
        </is>
      </c>
      <c r="I81" s="66" t="n">
        <v>9644207707</v>
      </c>
      <c r="J81" s="70" t="inlineStr">
        <is>
          <t>05/05/2026</t>
        </is>
      </c>
      <c r="K81" s="70" t="n"/>
      <c r="L81" s="50">
        <f>IF(K81&lt;&gt;"",K81-J81,TODAY()-DATE(MID(J81,7,4),MID(J81,4,2),LEFT(J81,2)))</f>
        <v/>
      </c>
      <c r="M81" s="51" t="inlineStr">
        <is>
          <t>Pending</t>
        </is>
      </c>
      <c r="N81" s="43" t="n">
        <v>57</v>
      </c>
      <c r="O81" s="43" t="n">
        <v>71</v>
      </c>
      <c r="P81" s="43" t="inlineStr">
        <is>
          <t>BA (Mass Communication)</t>
        </is>
      </c>
      <c r="Q81" s="43" t="inlineStr">
        <is>
          <t>Indore Public School</t>
        </is>
      </c>
      <c r="R81" s="43" t="inlineStr">
        <is>
          <t>Indore</t>
        </is>
      </c>
      <c r="S81" s="43" t="inlineStr">
        <is>
          <t>Makhanlal Chaturvedi National University</t>
        </is>
      </c>
      <c r="T81" s="43" t="n">
        <v>2022</v>
      </c>
      <c r="U81" s="80" t="n">
        <v>0.66</v>
      </c>
      <c r="V81" s="43" t="inlineStr">
        <is>
          <t>admission@mcu.ac.in</t>
        </is>
      </c>
    </row>
    <row r="82" ht="42" customFormat="1" customHeight="1" s="43">
      <c r="A82" s="66" t="n">
        <v>78</v>
      </c>
      <c r="B82" s="81" t="n">
        <v>330241</v>
      </c>
      <c r="C82" s="81" t="inlineStr">
        <is>
          <t>Inchara D</t>
        </is>
      </c>
      <c r="D82" s="81" t="inlineStr">
        <is>
          <t>inchara.d71095@gmail.com</t>
        </is>
      </c>
      <c r="E82" s="81" t="n"/>
      <c r="F82" s="81" t="inlineStr">
        <is>
          <t>Female</t>
        </is>
      </c>
      <c r="G82" s="81" t="n">
        <v>34979</v>
      </c>
      <c r="H82" s="81" t="inlineStr">
        <is>
          <t>AL491048</t>
        </is>
      </c>
      <c r="I82" s="81" t="n">
        <v>8310855616</v>
      </c>
      <c r="J82" s="82" t="inlineStr">
        <is>
          <t>16/12/2025</t>
        </is>
      </c>
      <c r="K82" s="82" t="inlineStr">
        <is>
          <t>16/01/2026</t>
        </is>
      </c>
      <c r="L82" s="50">
        <f>IF(K82&lt;&gt;"",K82-J82,TODAY()-DATE(MID(J82,7,4),MID(J82,4,2),LEFT(J82,2)))</f>
        <v/>
      </c>
      <c r="M82" s="83" t="inlineStr">
        <is>
          <t>APS Received</t>
        </is>
      </c>
      <c r="N82" s="84" t="n">
        <v>87.36</v>
      </c>
      <c r="O82" s="84" t="n">
        <v>68.66</v>
      </c>
      <c r="P82" s="84" t="inlineStr">
        <is>
          <t>B.E Information Science and Engineering</t>
        </is>
      </c>
      <c r="Q82" s="84" t="inlineStr">
        <is>
          <t>Alva's Institute of Engineering and Technology</t>
        </is>
      </c>
      <c r="R82" s="84" t="inlineStr">
        <is>
          <t>Karnataka</t>
        </is>
      </c>
      <c r="S82" s="84" t="inlineStr">
        <is>
          <t>Visvesvaraya Technological University</t>
        </is>
      </c>
      <c r="T82" s="84" t="n">
        <v>2017</v>
      </c>
      <c r="U82" s="84" t="n">
        <v>0.6342</v>
      </c>
      <c r="V82" s="84" t="inlineStr">
        <is>
          <t>principalaiet08@gmail.com</t>
        </is>
      </c>
      <c r="W82" s="84" t="n"/>
      <c r="X82" s="84" t="n"/>
      <c r="Y82" s="84" t="n"/>
      <c r="Z82" s="84" t="n"/>
      <c r="AA82" s="84" t="n"/>
      <c r="AB82" s="84" t="n"/>
      <c r="AC82" s="84" t="n"/>
    </row>
    <row r="83" ht="28" customFormat="1" customHeight="1" s="66">
      <c r="A83" s="66" t="n">
        <v>79</v>
      </c>
      <c r="B83" s="85" t="n">
        <v>326710</v>
      </c>
      <c r="C83" s="85" t="inlineStr">
        <is>
          <t>Anamika Abraham</t>
        </is>
      </c>
      <c r="D83" s="85" t="inlineStr">
        <is>
          <t>aamieabraham@gmail.com</t>
        </is>
      </c>
      <c r="E83" s="85" t="n"/>
      <c r="F83" s="85" t="inlineStr">
        <is>
          <t>Female</t>
        </is>
      </c>
      <c r="G83" s="85" t="n">
        <v>38175</v>
      </c>
      <c r="H83" s="85" t="inlineStr">
        <is>
          <t>W3453786</t>
        </is>
      </c>
      <c r="I83" s="85" t="n">
        <v>9999741513</v>
      </c>
      <c r="J83" s="86" t="inlineStr">
        <is>
          <t>25/11/2025</t>
        </is>
      </c>
      <c r="K83" s="86" t="inlineStr">
        <is>
          <t>22/12/2025</t>
        </is>
      </c>
      <c r="L83" s="50">
        <f>IF(K83&lt;&gt;"",K83-J83,TODAY()-DATE(MID(J83,7,4),MID(J83,4,2),LEFT(J83,2)))</f>
        <v/>
      </c>
      <c r="M83" s="87" t="inlineStr">
        <is>
          <t>APS Received</t>
        </is>
      </c>
      <c r="N83" s="88" t="n">
        <v>77</v>
      </c>
      <c r="O83" s="88" t="n">
        <v>78.2</v>
      </c>
      <c r="P83" s="88" t="inlineStr">
        <is>
          <t>BBA Finance and HR</t>
        </is>
      </c>
      <c r="Q83" s="88" t="inlineStr">
        <is>
          <t>Kristu Jayanti College</t>
        </is>
      </c>
      <c r="R83" s="88" t="inlineStr">
        <is>
          <t>Bengaluru</t>
        </is>
      </c>
      <c r="S83" s="88" t="inlineStr">
        <is>
          <t>Bengaluru North University</t>
        </is>
      </c>
      <c r="T83" s="88" t="n">
        <v>2025</v>
      </c>
      <c r="U83" s="88" t="inlineStr">
        <is>
          <t>79% / 8.5 CGPA</t>
        </is>
      </c>
      <c r="V83" s="88" t="inlineStr">
        <is>
          <t>sukuthomas@kristujayanti.com</t>
        </is>
      </c>
      <c r="W83" s="88" t="n"/>
      <c r="X83" s="88" t="n"/>
      <c r="Y83" s="88" t="n"/>
      <c r="Z83" s="88" t="n"/>
      <c r="AA83" s="88" t="n"/>
      <c r="AB83" s="88" t="n"/>
      <c r="AC83" s="88" t="n"/>
    </row>
    <row r="84" ht="28" customFormat="1" customHeight="1" s="43">
      <c r="A84" s="66" t="n">
        <v>80</v>
      </c>
      <c r="B84" s="81" t="n">
        <v>314115</v>
      </c>
      <c r="C84" s="81" t="inlineStr">
        <is>
          <t>Vinayak Yadav</t>
        </is>
      </c>
      <c r="D84" s="81" t="inlineStr">
        <is>
          <t>IYC.VINAYAKYADAV@GMAIL.COM</t>
        </is>
      </c>
      <c r="E84" s="81" t="n"/>
      <c r="F84" s="81" t="inlineStr">
        <is>
          <t>Male</t>
        </is>
      </c>
      <c r="G84" s="81" t="n">
        <v>38105</v>
      </c>
      <c r="H84" s="81" t="inlineStr">
        <is>
          <t>ZA169460</t>
        </is>
      </c>
      <c r="I84" s="81" t="n">
        <v>7021224135</v>
      </c>
      <c r="J84" s="82" t="inlineStr">
        <is>
          <t>10/09/2025</t>
        </is>
      </c>
      <c r="K84" s="82" t="inlineStr">
        <is>
          <t>17/12/2025</t>
        </is>
      </c>
      <c r="L84" s="50">
        <f>IF(K84&lt;&gt;"",K84-J84,TODAY()-DATE(MID(J84,7,4),MID(J84,4,2),LEFT(J84,2)))</f>
        <v/>
      </c>
      <c r="M84" s="83" t="inlineStr">
        <is>
          <t>APS Received</t>
        </is>
      </c>
      <c r="N84" s="84" t="n">
        <v>60</v>
      </c>
      <c r="O84" s="84" t="n">
        <v>48.67</v>
      </c>
      <c r="P84" s="84" t="inlineStr">
        <is>
          <t>B.Com Banking and Insurance</t>
        </is>
      </c>
      <c r="Q84" s="84" t="inlineStr">
        <is>
          <t>Thakur College of Science and Commerce</t>
        </is>
      </c>
      <c r="R84" s="84" t="inlineStr">
        <is>
          <t>Mumbai</t>
        </is>
      </c>
      <c r="S84" s="84" t="inlineStr">
        <is>
          <t>University of Mumbai</t>
        </is>
      </c>
      <c r="T84" s="84" t="n">
        <v>2025</v>
      </c>
      <c r="U84" s="84" t="n">
        <v>0.68</v>
      </c>
      <c r="V84" s="84" t="n"/>
      <c r="W84" s="84" t="n"/>
      <c r="X84" s="84" t="n"/>
      <c r="Y84" s="84" t="n"/>
      <c r="Z84" s="84" t="n"/>
      <c r="AA84" s="84" t="n"/>
      <c r="AB84" s="84" t="inlineStr">
        <is>
          <t>IELTS</t>
        </is>
      </c>
      <c r="AC84" s="84" t="n"/>
    </row>
    <row r="85" ht="42" customFormat="1" customHeight="1" s="66">
      <c r="A85" s="66" t="n">
        <v>81</v>
      </c>
      <c r="B85" s="85" t="n">
        <v>321346</v>
      </c>
      <c r="C85" s="85" t="inlineStr">
        <is>
          <t>Naresh Mula</t>
        </is>
      </c>
      <c r="D85" s="85" t="inlineStr">
        <is>
          <t>nareshreddymula66@gmail.com</t>
        </is>
      </c>
      <c r="E85" s="85" t="n"/>
      <c r="F85" s="85" t="inlineStr">
        <is>
          <t>Male</t>
        </is>
      </c>
      <c r="G85" s="85" t="n">
        <v>36721</v>
      </c>
      <c r="H85" s="85" t="inlineStr">
        <is>
          <t>W5026437</t>
        </is>
      </c>
      <c r="I85" s="85" t="n">
        <v>8919775911</v>
      </c>
      <c r="J85" s="86" t="inlineStr">
        <is>
          <t>24/10/2025</t>
        </is>
      </c>
      <c r="K85" s="86" t="inlineStr">
        <is>
          <t>25/11/2025</t>
        </is>
      </c>
      <c r="L85" s="50">
        <f>IF(K85&lt;&gt;"",K85-J85,TODAY()-DATE(MID(J85,7,4),MID(J85,4,2),LEFT(J85,2)))</f>
        <v/>
      </c>
      <c r="M85" s="87" t="inlineStr">
        <is>
          <t>APS Received</t>
        </is>
      </c>
      <c r="N85" s="88" t="n">
        <v>90</v>
      </c>
      <c r="O85" s="88" t="n">
        <v>76.40000000000001</v>
      </c>
      <c r="P85" s="88" t="inlineStr">
        <is>
          <t>B.Tech Electronics and Communication Engineering</t>
        </is>
      </c>
      <c r="Q85" s="88" t="inlineStr">
        <is>
          <t>Vaagdevi Engineering College</t>
        </is>
      </c>
      <c r="R85" s="88" t="inlineStr">
        <is>
          <t>Telangana</t>
        </is>
      </c>
      <c r="S85" s="88" t="inlineStr">
        <is>
          <t>Jawaharlal Nehru Technological University Hyderabad</t>
        </is>
      </c>
      <c r="T85" s="88" t="n">
        <v>2023</v>
      </c>
      <c r="U85" s="88" t="inlineStr">
        <is>
          <t>61% / 6.0 CGPA</t>
        </is>
      </c>
      <c r="V85" s="88" t="n"/>
      <c r="W85" s="88" t="n"/>
      <c r="X85" s="88" t="n"/>
      <c r="Y85" s="88" t="n"/>
      <c r="Z85" s="88" t="n"/>
      <c r="AA85" s="88" t="n"/>
      <c r="AB85" s="88" t="inlineStr">
        <is>
          <t>TOEFL</t>
        </is>
      </c>
      <c r="AC85" s="88" t="n"/>
    </row>
    <row r="86" ht="28" customFormat="1" customHeight="1" s="43">
      <c r="A86" s="66" t="n">
        <v>82</v>
      </c>
      <c r="B86" s="81" t="n">
        <v>318535</v>
      </c>
      <c r="C86" s="81" t="inlineStr">
        <is>
          <t>Junaid Mohamed T</t>
        </is>
      </c>
      <c r="D86" s="81" t="inlineStr">
        <is>
          <t>itsjunaidmohamed@gmail.com</t>
        </is>
      </c>
      <c r="E86" s="81" t="n"/>
      <c r="F86" s="81" t="inlineStr">
        <is>
          <t>Male</t>
        </is>
      </c>
      <c r="G86" s="81" t="n">
        <v>36363</v>
      </c>
      <c r="H86" s="81" t="inlineStr">
        <is>
          <t>V4641611</t>
        </is>
      </c>
      <c r="I86" s="81" t="n">
        <v>8971808105</v>
      </c>
      <c r="J86" s="82" t="inlineStr">
        <is>
          <t>07/10/2025</t>
        </is>
      </c>
      <c r="K86" s="82" t="inlineStr">
        <is>
          <t>3/12/2025</t>
        </is>
      </c>
      <c r="L86" s="50">
        <f>IF(K86&lt;&gt;"",K86-J86,TODAY()-DATE(MID(J86,7,4),MID(J86,4,2),LEFT(J86,2)))</f>
        <v/>
      </c>
      <c r="M86" s="83" t="inlineStr">
        <is>
          <t>APS Received</t>
        </is>
      </c>
      <c r="N86" s="84" t="n">
        <v>66.5</v>
      </c>
      <c r="O86" s="84" t="n">
        <v>65.5</v>
      </c>
      <c r="P86" s="84" t="inlineStr">
        <is>
          <t>Bachelor of Computer Application</t>
        </is>
      </c>
      <c r="Q86" s="84" t="inlineStr">
        <is>
          <t>Nee Horizon Degree College</t>
        </is>
      </c>
      <c r="R86" s="84" t="inlineStr">
        <is>
          <t>Bengaluru</t>
        </is>
      </c>
      <c r="S86" s="84" t="inlineStr">
        <is>
          <t>Bangalore University</t>
        </is>
      </c>
      <c r="T86" s="84" t="n">
        <v>2022</v>
      </c>
      <c r="U86" s="84" t="inlineStr">
        <is>
          <t>5.3 CGPA</t>
        </is>
      </c>
      <c r="V86" s="84" t="inlineStr">
        <is>
          <t>vybhavib@newhorizonindia.edu</t>
        </is>
      </c>
      <c r="W86" s="84" t="n"/>
      <c r="X86" s="84" t="n"/>
      <c r="Y86" s="84" t="n"/>
      <c r="Z86" s="84" t="n"/>
      <c r="AA86" s="84" t="n"/>
      <c r="AB86" s="84" t="n"/>
      <c r="AC86" s="84" t="n"/>
    </row>
    <row r="87" ht="28" customFormat="1" customHeight="1" s="66">
      <c r="A87" s="66" t="n">
        <v>83</v>
      </c>
      <c r="B87" s="85" t="n">
        <v>319294</v>
      </c>
      <c r="C87" s="85" t="inlineStr">
        <is>
          <t>Sahil Kitawat</t>
        </is>
      </c>
      <c r="D87" s="85" t="inlineStr">
        <is>
          <t>kitawatsahil1@gmail.com</t>
        </is>
      </c>
      <c r="E87" s="85" t="n"/>
      <c r="F87" s="85" t="inlineStr">
        <is>
          <t>Male</t>
        </is>
      </c>
      <c r="G87" s="85" t="n">
        <v>36595</v>
      </c>
      <c r="H87" s="85" t="inlineStr">
        <is>
          <t>S6861018</t>
        </is>
      </c>
      <c r="I87" s="85" t="n">
        <v>7977323197</v>
      </c>
      <c r="J87" s="86" t="inlineStr">
        <is>
          <t>22/10/2025</t>
        </is>
      </c>
      <c r="K87" s="86" t="inlineStr">
        <is>
          <t>5/11/2025</t>
        </is>
      </c>
      <c r="L87" s="50">
        <f>IF(K87&lt;&gt;"",K87-J87,TODAY()-DATE(MID(J87,7,4),MID(J87,4,2),LEFT(J87,2)))</f>
        <v/>
      </c>
      <c r="M87" s="87" t="inlineStr">
        <is>
          <t>APS Received</t>
        </is>
      </c>
      <c r="N87" s="88" t="n">
        <v>66.40000000000001</v>
      </c>
      <c r="O87" s="88" t="n">
        <v>48.92</v>
      </c>
      <c r="P87" s="88" t="inlineStr">
        <is>
          <t>B.Com Commerce</t>
        </is>
      </c>
      <c r="Q87" s="88" t="inlineStr">
        <is>
          <t>Thakur College of Science and Commerce</t>
        </is>
      </c>
      <c r="R87" s="88" t="inlineStr">
        <is>
          <t>Mumbai</t>
        </is>
      </c>
      <c r="S87" s="88" t="inlineStr">
        <is>
          <t>Thakur College of Science and Commerce</t>
        </is>
      </c>
      <c r="T87" s="88" t="n">
        <v>2021</v>
      </c>
      <c r="U87" s="88" t="inlineStr">
        <is>
          <t>6.2 CGPA</t>
        </is>
      </c>
      <c r="V87" s="88" t="inlineStr">
        <is>
          <t>manojkmishra@tcsc.edu.in</t>
        </is>
      </c>
      <c r="W87" s="88" t="n"/>
      <c r="X87" s="88" t="n"/>
      <c r="Y87" s="88" t="n"/>
      <c r="Z87" s="88" t="n"/>
      <c r="AA87" s="88" t="n"/>
      <c r="AB87" s="88" t="inlineStr">
        <is>
          <t>IELTS</t>
        </is>
      </c>
      <c r="AC87" s="88" t="n"/>
    </row>
    <row r="88" ht="42" customFormat="1" customHeight="1" s="43">
      <c r="A88" s="66" t="n">
        <v>84</v>
      </c>
      <c r="B88" s="81" t="n">
        <v>319959</v>
      </c>
      <c r="C88" s="81" t="inlineStr">
        <is>
          <t>Sri Ram Bikkina</t>
        </is>
      </c>
      <c r="D88" s="81" t="inlineStr">
        <is>
          <t>srirambikkina2004@gmail.com</t>
        </is>
      </c>
      <c r="E88" s="81" t="n"/>
      <c r="F88" s="81" t="inlineStr">
        <is>
          <t>Male</t>
        </is>
      </c>
      <c r="G88" s="81" t="n">
        <v>38007</v>
      </c>
      <c r="H88" s="81" t="inlineStr">
        <is>
          <t>C4322963</t>
        </is>
      </c>
      <c r="I88" s="81" t="n">
        <v>9346075107</v>
      </c>
      <c r="J88" s="82" t="inlineStr">
        <is>
          <t>15/10/2025</t>
        </is>
      </c>
      <c r="K88" s="82" t="inlineStr">
        <is>
          <t>25/11/2025</t>
        </is>
      </c>
      <c r="L88" s="50">
        <f>IF(K88&lt;&gt;"",K88-J88,TODAY()-DATE(MID(J88,7,4),MID(J88,4,2),LEFT(J88,2)))</f>
        <v/>
      </c>
      <c r="M88" s="83" t="inlineStr">
        <is>
          <t>APS Received</t>
        </is>
      </c>
      <c r="N88" s="84" t="n">
        <v>85.59999999999999</v>
      </c>
      <c r="O88" s="84" t="n">
        <v>93.90000000000001</v>
      </c>
      <c r="P88" s="84" t="inlineStr">
        <is>
          <t>B.Tech Computer Science Engineering</t>
        </is>
      </c>
      <c r="Q88" s="84" t="inlineStr">
        <is>
          <t>St. Peter's Institute of Higher Education and Research</t>
        </is>
      </c>
      <c r="R88" s="84" t="inlineStr">
        <is>
          <t>Andhra Pradesh</t>
        </is>
      </c>
      <c r="S88" s="84" t="inlineStr">
        <is>
          <t>St. Peter's Institute of Higher Education and Research</t>
        </is>
      </c>
      <c r="T88" s="84" t="n">
        <v>2025</v>
      </c>
      <c r="U88" s="84" t="inlineStr">
        <is>
          <t>70.2% / 7.0 CGPA</t>
        </is>
      </c>
      <c r="V88" s="84" t="inlineStr">
        <is>
          <t>csehod@sipher.ac.in</t>
        </is>
      </c>
      <c r="W88" s="84" t="n"/>
      <c r="X88" s="84" t="n"/>
      <c r="Y88" s="84" t="n"/>
      <c r="Z88" s="84" t="n"/>
      <c r="AA88" s="84" t="n"/>
      <c r="AB88" s="84" t="n"/>
      <c r="AC88" s="84" t="n"/>
    </row>
    <row r="89" ht="56" customFormat="1" customHeight="1" s="66">
      <c r="A89" s="66" t="n">
        <v>85</v>
      </c>
      <c r="B89" s="85" t="n">
        <v>318248</v>
      </c>
      <c r="C89" s="85" t="inlineStr">
        <is>
          <t>Gayathri Bandipelly</t>
        </is>
      </c>
      <c r="D89" s="85" t="inlineStr">
        <is>
          <t>gayathribandipelly15@gmail.com</t>
        </is>
      </c>
      <c r="E89" s="85" t="n"/>
      <c r="F89" s="85" t="inlineStr">
        <is>
          <t>Female</t>
        </is>
      </c>
      <c r="G89" s="85" t="n">
        <v>37712</v>
      </c>
      <c r="H89" s="85" t="inlineStr">
        <is>
          <t>C8028161</t>
        </is>
      </c>
      <c r="I89" s="85" t="n">
        <v>7330928827</v>
      </c>
      <c r="J89" s="86" t="inlineStr">
        <is>
          <t>06/10/2025</t>
        </is>
      </c>
      <c r="K89" s="86" t="inlineStr">
        <is>
          <t>17/10/2025</t>
        </is>
      </c>
      <c r="L89" s="50">
        <f>IF(K89&lt;&gt;"",K89-J89,TODAY()-DATE(MID(J89,7,4),MID(J89,4,2),LEFT(J89,2)))</f>
        <v/>
      </c>
      <c r="M89" s="87" t="inlineStr">
        <is>
          <t>APS Received</t>
        </is>
      </c>
      <c r="N89" s="88" t="n">
        <v>93</v>
      </c>
      <c r="O89" s="88" t="n"/>
      <c r="P89" s="88" t="inlineStr">
        <is>
          <t>B.Tech Computer Science and Engineering (Data Science)</t>
        </is>
      </c>
      <c r="Q89" s="88" t="inlineStr">
        <is>
          <t>Institute of Aeronautical Engineering</t>
        </is>
      </c>
      <c r="R89" s="88" t="inlineStr">
        <is>
          <t>Telangana</t>
        </is>
      </c>
      <c r="S89" s="88" t="inlineStr">
        <is>
          <t>Institute of Aeronautical Engineering</t>
        </is>
      </c>
      <c r="T89" s="88" t="n"/>
      <c r="U89" s="88" t="n"/>
      <c r="V89" s="88" t="n"/>
      <c r="W89" s="88" t="n"/>
      <c r="X89" s="88" t="n"/>
      <c r="Y89" s="88" t="n"/>
      <c r="Z89" s="88" t="n"/>
      <c r="AA89" s="88" t="n"/>
      <c r="AB89" s="88" t="n"/>
      <c r="AC89" s="88" t="n"/>
    </row>
    <row r="90" ht="28" customFormat="1" customHeight="1" s="43">
      <c r="A90" s="89" t="n">
        <v>86</v>
      </c>
      <c r="B90" s="81" t="n">
        <v>318534</v>
      </c>
      <c r="C90" s="81" t="inlineStr">
        <is>
          <t>Shruti Tirlotkar</t>
        </is>
      </c>
      <c r="D90" s="81" t="inlineStr">
        <is>
          <t>shrutitirlotkar810@gmail.com</t>
        </is>
      </c>
      <c r="E90" s="81" t="n"/>
      <c r="F90" s="81" t="inlineStr">
        <is>
          <t>Female</t>
        </is>
      </c>
      <c r="G90" s="81" t="n">
        <v>38018</v>
      </c>
      <c r="H90" s="81" t="inlineStr">
        <is>
          <t>AH920427</t>
        </is>
      </c>
      <c r="I90" s="81" t="n">
        <v>9867795041</v>
      </c>
      <c r="J90" s="82" t="inlineStr">
        <is>
          <t>07/10/2025</t>
        </is>
      </c>
      <c r="K90" s="82" t="inlineStr">
        <is>
          <t>10/11/2025</t>
        </is>
      </c>
      <c r="L90" s="50">
        <f>IF(K90&lt;&gt;"",K90-J90,TODAY()-DATE(MID(J90,7,4),MID(J90,4,2),LEFT(J90,2)))</f>
        <v/>
      </c>
      <c r="M90" s="83" t="inlineStr">
        <is>
          <t>APS Received</t>
        </is>
      </c>
      <c r="N90" s="84" t="n">
        <v>58.6</v>
      </c>
      <c r="O90" s="84" t="n">
        <v>65.83</v>
      </c>
      <c r="P90" s="84" t="inlineStr">
        <is>
          <t>B.Com</t>
        </is>
      </c>
      <c r="Q90" s="84" t="inlineStr">
        <is>
          <t>Nava Samaj Mandal Degree College</t>
        </is>
      </c>
      <c r="R90" s="84" t="inlineStr">
        <is>
          <t>Mumbai</t>
        </is>
      </c>
      <c r="S90" s="84" t="inlineStr">
        <is>
          <t>Nava Samaj Mandal Degree College</t>
        </is>
      </c>
      <c r="T90" s="84" t="n">
        <v>2025</v>
      </c>
      <c r="U90" s="84" t="n"/>
      <c r="V90" s="84" t="n"/>
      <c r="W90" s="84" t="n"/>
      <c r="X90" s="84" t="n"/>
      <c r="Y90" s="84" t="n"/>
      <c r="Z90" s="84" t="n"/>
      <c r="AA90" s="84" t="n"/>
      <c r="AB90" s="84" t="n"/>
      <c r="AC90" s="84" t="n"/>
    </row>
    <row r="91" ht="42" customFormat="1" customHeight="1" s="66">
      <c r="A91" s="66" t="n">
        <v>87</v>
      </c>
      <c r="B91" s="85" t="n">
        <v>318658</v>
      </c>
      <c r="C91" s="85" t="inlineStr">
        <is>
          <t>Poreddy Sainath Reddy</t>
        </is>
      </c>
      <c r="D91" s="85" t="inlineStr">
        <is>
          <t>sainathporeddy09@gmail.com</t>
        </is>
      </c>
      <c r="E91" s="85" t="n"/>
      <c r="F91" s="85" t="inlineStr">
        <is>
          <t>Male</t>
        </is>
      </c>
      <c r="G91" s="85" t="n">
        <v>37781</v>
      </c>
      <c r="H91" s="85" t="inlineStr">
        <is>
          <t>C2029744</t>
        </is>
      </c>
      <c r="I91" s="85" t="n">
        <v>7780735887</v>
      </c>
      <c r="J91" s="86" t="inlineStr">
        <is>
          <t>09/10/2025</t>
        </is>
      </c>
      <c r="K91" s="86" t="inlineStr">
        <is>
          <t>17/11/2025</t>
        </is>
      </c>
      <c r="L91" s="50">
        <f>IF(K91&lt;&gt;"",K91-J91,TODAY()-DATE(MID(J91,7,4),MID(J91,4,2),LEFT(J91,2)))</f>
        <v/>
      </c>
      <c r="M91" s="87" t="inlineStr">
        <is>
          <t>APS Received</t>
        </is>
      </c>
      <c r="N91" s="88" t="n">
        <v>93.09999999999999</v>
      </c>
      <c r="O91" s="88" t="n">
        <v>98.59999999999999</v>
      </c>
      <c r="P91" s="88" t="inlineStr">
        <is>
          <t>B.Tech Computer Science Engineering (Cloud Computing)</t>
        </is>
      </c>
      <c r="Q91" s="88" t="inlineStr">
        <is>
          <t>Koneru Lakshaiah Education Foundation</t>
        </is>
      </c>
      <c r="R91" s="88" t="inlineStr">
        <is>
          <t>Andhra Pradesh</t>
        </is>
      </c>
      <c r="S91" s="88" t="inlineStr">
        <is>
          <t>KL Deemed to be University</t>
        </is>
      </c>
      <c r="T91" s="88" t="n">
        <v>2025</v>
      </c>
      <c r="U91" s="88" t="inlineStr">
        <is>
          <t>85.41% / 8.9 CGPA</t>
        </is>
      </c>
      <c r="V91" s="88" t="n"/>
      <c r="W91" s="88" t="n"/>
      <c r="X91" s="88" t="n"/>
      <c r="Y91" s="88" t="n"/>
      <c r="Z91" s="88" t="n"/>
      <c r="AA91" s="88" t="n"/>
      <c r="AB91" s="88" t="n"/>
      <c r="AC91" s="88" t="n"/>
    </row>
    <row r="92" ht="28" customFormat="1" customHeight="1" s="43">
      <c r="A92" s="89" t="n">
        <v>88</v>
      </c>
      <c r="B92" s="81" t="n">
        <v>318129</v>
      </c>
      <c r="C92" s="81" t="inlineStr">
        <is>
          <t>Utsav Anshu</t>
        </is>
      </c>
      <c r="D92" s="81" t="inlineStr">
        <is>
          <t>utsav.anshu17@gmail.com</t>
        </is>
      </c>
      <c r="E92" s="81" t="n"/>
      <c r="F92" s="81" t="inlineStr">
        <is>
          <t>Male</t>
        </is>
      </c>
      <c r="G92" s="81" t="n">
        <v>34747</v>
      </c>
      <c r="H92" s="81" t="inlineStr">
        <is>
          <t>P0565054</t>
        </is>
      </c>
      <c r="I92" s="81" t="n">
        <v>7060164391</v>
      </c>
      <c r="J92" s="82" t="inlineStr">
        <is>
          <t>06/10/2025</t>
        </is>
      </c>
      <c r="K92" s="82" t="inlineStr">
        <is>
          <t>16/10/2025</t>
        </is>
      </c>
      <c r="L92" s="50">
        <f>IF(K92&lt;&gt;"",K92-J92,TODAY()-DATE(MID(J92,7,4),MID(J92,4,2),LEFT(J92,2)))</f>
        <v/>
      </c>
      <c r="M92" s="83" t="inlineStr">
        <is>
          <t>APS Received</t>
        </is>
      </c>
      <c r="N92" s="84" t="n">
        <v>69</v>
      </c>
      <c r="O92" s="84" t="n">
        <v>62</v>
      </c>
      <c r="P92" s="84" t="inlineStr">
        <is>
          <t>B.Tech Electrical Engineering</t>
        </is>
      </c>
      <c r="Q92" s="84" t="inlineStr">
        <is>
          <t>Noida International University</t>
        </is>
      </c>
      <c r="R92" s="84" t="inlineStr">
        <is>
          <t>Noida</t>
        </is>
      </c>
      <c r="S92" s="84" t="inlineStr">
        <is>
          <t>Noida International University</t>
        </is>
      </c>
      <c r="T92" s="84" t="n">
        <v>2017</v>
      </c>
      <c r="U92" s="84" t="inlineStr">
        <is>
          <t>5.7 CGPA</t>
        </is>
      </c>
      <c r="V92" s="84" t="inlineStr">
        <is>
          <t>swati.singh@niu.edu.in</t>
        </is>
      </c>
      <c r="W92" s="84" t="inlineStr">
        <is>
          <t>PG Diploma Banking Services</t>
        </is>
      </c>
      <c r="X92" s="84" t="inlineStr">
        <is>
          <t>Manipal Academy of Higher Education</t>
        </is>
      </c>
      <c r="Y92" s="84" t="inlineStr">
        <is>
          <t>Manipal University</t>
        </is>
      </c>
      <c r="Z92" s="84" t="n">
        <v>2019</v>
      </c>
      <c r="AA92" s="84" t="n">
        <v>0.89</v>
      </c>
      <c r="AB92" s="84" t="n"/>
      <c r="AC92" s="84" t="n"/>
    </row>
    <row r="93" ht="42" customFormat="1" customHeight="1" s="66">
      <c r="A93" s="66" t="n">
        <v>89</v>
      </c>
      <c r="B93" s="85" t="n">
        <v>318080</v>
      </c>
      <c r="C93" s="85" t="inlineStr">
        <is>
          <t>Sayinah Ali</t>
        </is>
      </c>
      <c r="D93" s="85" t="inlineStr">
        <is>
          <t>sayinah01ali@gmail.com</t>
        </is>
      </c>
      <c r="E93" s="85" t="n"/>
      <c r="F93" s="85" t="inlineStr">
        <is>
          <t>Female</t>
        </is>
      </c>
      <c r="G93" s="85" t="n">
        <v>37039</v>
      </c>
      <c r="H93" s="85" t="inlineStr">
        <is>
          <t>Z4580082</t>
        </is>
      </c>
      <c r="I93" s="85" t="n">
        <v>899649400</v>
      </c>
      <c r="J93" s="86" t="inlineStr">
        <is>
          <t>06/10/2025</t>
        </is>
      </c>
      <c r="K93" s="86" t="inlineStr">
        <is>
          <t>13/11/2025</t>
        </is>
      </c>
      <c r="L93" s="50">
        <f>IF(K93&lt;&gt;"",K93-J93,TODAY()-DATE(MID(J93,7,4),MID(J93,4,2),LEFT(J93,2)))</f>
        <v/>
      </c>
      <c r="M93" s="87" t="inlineStr">
        <is>
          <t>APS Received</t>
        </is>
      </c>
      <c r="N93" s="88" t="n">
        <v>98</v>
      </c>
      <c r="O93" s="88" t="n">
        <v>87</v>
      </c>
      <c r="P93" s="88" t="inlineStr">
        <is>
          <t>B.Tech Computer Science Engineering</t>
        </is>
      </c>
      <c r="Q93" s="88" t="inlineStr">
        <is>
          <t>AKTU</t>
        </is>
      </c>
      <c r="R93" s="88" t="inlineStr">
        <is>
          <t>Delhi</t>
        </is>
      </c>
      <c r="S93" s="88" t="inlineStr">
        <is>
          <t>JSS ATEN</t>
        </is>
      </c>
      <c r="T93" s="88" t="n">
        <v>2023</v>
      </c>
      <c r="U93" s="88" t="inlineStr">
        <is>
          <t>90% / 9.0 CGPA</t>
        </is>
      </c>
      <c r="V93" s="88" t="n"/>
      <c r="W93" s="88" t="inlineStr">
        <is>
          <t>MSc Data and Computational Science</t>
        </is>
      </c>
      <c r="X93" s="88" t="inlineStr">
        <is>
          <t>UCD</t>
        </is>
      </c>
      <c r="Y93" s="88" t="inlineStr">
        <is>
          <t>University College Dublin</t>
        </is>
      </c>
      <c r="Z93" s="88" t="n">
        <v>2024</v>
      </c>
      <c r="AA93" s="88" t="inlineStr">
        <is>
          <t>70% / 2.1 CGPA</t>
        </is>
      </c>
      <c r="AB93" s="88" t="inlineStr">
        <is>
          <t>IELTS</t>
        </is>
      </c>
      <c r="AC93" s="88" t="n"/>
    </row>
    <row r="94" ht="70" customFormat="1" customHeight="1" s="43">
      <c r="A94" s="89" t="n">
        <v>90</v>
      </c>
      <c r="B94" s="81" t="n">
        <v>317429</v>
      </c>
      <c r="C94" s="81" t="inlineStr">
        <is>
          <t>Niveda Priscilla</t>
        </is>
      </c>
      <c r="D94" s="81" t="inlineStr">
        <is>
          <t>nivedaa3@gmail.com</t>
        </is>
      </c>
      <c r="E94" s="81" t="n"/>
      <c r="F94" s="81" t="inlineStr">
        <is>
          <t>Female</t>
        </is>
      </c>
      <c r="G94" s="81" t="n">
        <v>35971</v>
      </c>
      <c r="H94" s="81" t="inlineStr">
        <is>
          <t>U3843833</t>
        </is>
      </c>
      <c r="I94" s="81" t="n">
        <v>9019549195</v>
      </c>
      <c r="J94" s="82" t="inlineStr">
        <is>
          <t>01/10/2025</t>
        </is>
      </c>
      <c r="K94" s="82" t="n"/>
      <c r="L94" s="50">
        <f>IF(K94&lt;&gt;"",K94-J94,TODAY()-DATE(MID(J94,7,4),MID(J94,4,2),LEFT(J94,2)))</f>
        <v/>
      </c>
      <c r="M94" s="83" t="inlineStr">
        <is>
          <t>Pending</t>
        </is>
      </c>
      <c r="N94" s="84" t="n">
        <v>59.68</v>
      </c>
      <c r="O94" s="84" t="n">
        <v>70.5</v>
      </c>
      <c r="P94" s="84" t="inlineStr">
        <is>
          <t>B.Com</t>
        </is>
      </c>
      <c r="Q94" s="84" t="inlineStr">
        <is>
          <t>PES College of Arts, Science, Mandya</t>
        </is>
      </c>
      <c r="R94" s="84" t="inlineStr">
        <is>
          <t>Mandya, Karnataka</t>
        </is>
      </c>
      <c r="S94" s="84" t="inlineStr">
        <is>
          <t>University of Mysore</t>
        </is>
      </c>
      <c r="T94" s="84" t="n">
        <v>2023</v>
      </c>
      <c r="U94" s="84" t="inlineStr">
        <is>
          <t>59.49% / 6.0 CGPA</t>
        </is>
      </c>
      <c r="V94" s="84" t="n"/>
      <c r="W94" s="84" t="n"/>
      <c r="X94" s="84" t="n"/>
      <c r="Y94" s="84" t="n"/>
      <c r="Z94" s="84" t="n"/>
      <c r="AA94" s="84" t="n"/>
      <c r="AB94" s="84" t="inlineStr">
        <is>
          <t>Both (English &amp; German)</t>
        </is>
      </c>
      <c r="AC94" s="84" t="n"/>
    </row>
    <row r="95" ht="28" customFormat="1" customHeight="1" s="66">
      <c r="A95" s="66" t="n">
        <v>91</v>
      </c>
      <c r="B95" s="85" t="n">
        <v>292137</v>
      </c>
      <c r="C95" s="85" t="inlineStr">
        <is>
          <t>Sameeksha</t>
        </is>
      </c>
      <c r="D95" s="85" t="inlineStr">
        <is>
          <t>sameeksha1610@gmail.com</t>
        </is>
      </c>
      <c r="E95" s="85" t="n"/>
      <c r="F95" s="85" t="inlineStr">
        <is>
          <t>Female</t>
        </is>
      </c>
      <c r="G95" s="85" t="n">
        <v>36164</v>
      </c>
      <c r="H95" s="85" t="inlineStr">
        <is>
          <t>X5441201</t>
        </is>
      </c>
      <c r="I95" s="85" t="n">
        <v>8360390431</v>
      </c>
      <c r="J95" s="86" t="inlineStr">
        <is>
          <t>22/04/2025</t>
        </is>
      </c>
      <c r="K95" s="86" t="n"/>
      <c r="L95" s="50">
        <f>IF(K95&lt;&gt;"",K95-J95,TODAY()-DATE(MID(J95,7,4),MID(J95,4,2),LEFT(J95,2)))</f>
        <v/>
      </c>
      <c r="M95" s="87" t="inlineStr">
        <is>
          <t>Pending</t>
        </is>
      </c>
      <c r="N95" s="88" t="n">
        <v>85.5</v>
      </c>
      <c r="O95" s="88" t="n"/>
      <c r="P95" s="88" t="inlineStr">
        <is>
          <t>Bachelor of Dental Surgery</t>
        </is>
      </c>
      <c r="Q95" s="88" t="inlineStr">
        <is>
          <t>Christian Dental College, Ludhiana</t>
        </is>
      </c>
      <c r="R95" s="88" t="inlineStr">
        <is>
          <t>Ludhiana, Punjab</t>
        </is>
      </c>
      <c r="S95" s="88" t="inlineStr">
        <is>
          <t>Baba Farid University of Health Sciences</t>
        </is>
      </c>
      <c r="T95" s="88" t="n">
        <v>2021</v>
      </c>
      <c r="U95" s="88" t="n">
        <v>0.659</v>
      </c>
      <c r="V95" s="88" t="n"/>
      <c r="W95" s="88" t="n"/>
      <c r="X95" s="88" t="n"/>
      <c r="Y95" s="88" t="n"/>
      <c r="Z95" s="88" t="n"/>
      <c r="AA95" s="88" t="n"/>
      <c r="AB95" s="88" t="inlineStr">
        <is>
          <t>IELTS</t>
        </is>
      </c>
      <c r="AC95" s="88" t="n"/>
    </row>
    <row r="96" ht="42" customFormat="1" customHeight="1" s="43">
      <c r="A96" s="89" t="n">
        <v>92</v>
      </c>
      <c r="B96" s="81" t="n">
        <v>310696</v>
      </c>
      <c r="C96" s="81" t="inlineStr">
        <is>
          <t>Vinayak Pundir</t>
        </is>
      </c>
      <c r="D96" s="81" t="inlineStr">
        <is>
          <t>vinayakpundir@vinayakpundir.com</t>
        </is>
      </c>
      <c r="E96" s="81" t="n"/>
      <c r="F96" s="81" t="inlineStr">
        <is>
          <t>Male</t>
        </is>
      </c>
      <c r="G96" s="81" t="n">
        <v>37112</v>
      </c>
      <c r="H96" s="81" t="inlineStr">
        <is>
          <t>Z7399672</t>
        </is>
      </c>
      <c r="I96" s="81" t="n">
        <v>9717120151</v>
      </c>
      <c r="J96" s="82" t="inlineStr">
        <is>
          <t>20/08/2025</t>
        </is>
      </c>
      <c r="K96" s="82" t="inlineStr">
        <is>
          <t>04/09/2025</t>
        </is>
      </c>
      <c r="L96" s="50">
        <f>IF(K96&lt;&gt;"",K96-J96,TODAY()-DATE(MID(J96,7,4),MID(J96,4,2),LEFT(J96,2)))</f>
        <v/>
      </c>
      <c r="M96" s="83" t="inlineStr">
        <is>
          <t>APS Received</t>
        </is>
      </c>
      <c r="N96" s="84" t="n">
        <v>72.2</v>
      </c>
      <c r="O96" s="84" t="n">
        <v>74.40000000000001</v>
      </c>
      <c r="P96" s="84" t="inlineStr">
        <is>
          <t>BBA Marketing Management</t>
        </is>
      </c>
      <c r="Q96" s="84" t="inlineStr">
        <is>
          <t>Symbiosis Centre for Management Studies, Noida</t>
        </is>
      </c>
      <c r="R96" s="84" t="inlineStr">
        <is>
          <t>Noida</t>
        </is>
      </c>
      <c r="S96" s="84" t="inlineStr">
        <is>
          <t>Symbiosis International (Deemed University), Pune</t>
        </is>
      </c>
      <c r="T96" s="84" t="n">
        <v>2023</v>
      </c>
      <c r="U96" s="84" t="inlineStr">
        <is>
          <t>62.7% / 6.3 CGPA</t>
        </is>
      </c>
      <c r="V96" s="84" t="inlineStr">
        <is>
          <t>priya.grover@scmsnoida.ac.in</t>
        </is>
      </c>
      <c r="W96" s="84" t="n"/>
      <c r="X96" s="84" t="n"/>
      <c r="Y96" s="84" t="n"/>
      <c r="Z96" s="84" t="n"/>
      <c r="AA96" s="84" t="n"/>
      <c r="AB96" s="84" t="n"/>
      <c r="AC96" s="84" t="n"/>
    </row>
    <row r="97" ht="28" customFormat="1" customHeight="1" s="66">
      <c r="A97" s="66" t="n">
        <v>93</v>
      </c>
      <c r="B97" s="85" t="n">
        <v>312562</v>
      </c>
      <c r="C97" s="85" t="inlineStr">
        <is>
          <t>J Sagar Gowda</t>
        </is>
      </c>
      <c r="D97" s="85" t="inlineStr">
        <is>
          <t>sagargowdaj2073@gmail.com</t>
        </is>
      </c>
      <c r="E97" s="85" t="n"/>
      <c r="F97" s="85" t="inlineStr">
        <is>
          <t>Male</t>
        </is>
      </c>
      <c r="G97" s="85" t="n">
        <v>37455</v>
      </c>
      <c r="H97" s="85" t="inlineStr">
        <is>
          <t>ZA043371</t>
        </is>
      </c>
      <c r="I97" s="85" t="n">
        <v>9535027772</v>
      </c>
      <c r="J97" s="86" t="inlineStr">
        <is>
          <t>02/09/2025</t>
        </is>
      </c>
      <c r="K97" s="86" t="inlineStr">
        <is>
          <t>08/10/2025</t>
        </is>
      </c>
      <c r="L97" s="50">
        <f>IF(K97&lt;&gt;"",K97-J97,TODAY()-DATE(MID(J97,7,4),MID(J97,4,2),LEFT(J97,2)))</f>
        <v/>
      </c>
      <c r="M97" s="87" t="inlineStr">
        <is>
          <t>APS Received</t>
        </is>
      </c>
      <c r="N97" s="88" t="n">
        <v>87.04000000000001</v>
      </c>
      <c r="O97" s="88" t="n">
        <v>44</v>
      </c>
      <c r="P97" s="88" t="inlineStr">
        <is>
          <t>Bachelor of Commerce</t>
        </is>
      </c>
      <c r="Q97" s="88" t="inlineStr">
        <is>
          <t>Depaul Degree College</t>
        </is>
      </c>
      <c r="R97" s="88" t="inlineStr">
        <is>
          <t>Bangalore, Karnataka</t>
        </is>
      </c>
      <c r="S97" s="88" t="inlineStr">
        <is>
          <t>University of Mysore</t>
        </is>
      </c>
      <c r="T97" s="88" t="n">
        <v>2024</v>
      </c>
      <c r="U97" s="88" t="inlineStr">
        <is>
          <t>79.5% / 7.9 CGPA</t>
        </is>
      </c>
      <c r="V97" s="88" t="inlineStr">
        <is>
          <t>mlashok@yahoo.co.in</t>
        </is>
      </c>
      <c r="W97" s="88" t="n"/>
      <c r="X97" s="88" t="n"/>
      <c r="Y97" s="88" t="n"/>
      <c r="Z97" s="88" t="n"/>
      <c r="AA97" s="88" t="n"/>
      <c r="AB97" s="88" t="inlineStr">
        <is>
          <t>IELTS</t>
        </is>
      </c>
      <c r="AC97" s="88" t="n"/>
    </row>
    <row r="98" ht="28" customFormat="1" customHeight="1" s="43">
      <c r="A98" s="89" t="n">
        <v>94</v>
      </c>
      <c r="B98" s="81" t="n">
        <v>311648</v>
      </c>
      <c r="C98" s="81" t="inlineStr">
        <is>
          <t>Kirti Verma</t>
        </is>
      </c>
      <c r="D98" s="81" t="inlineStr">
        <is>
          <t>kirtiyashverma2@gmail.com</t>
        </is>
      </c>
      <c r="E98" s="81" t="n"/>
      <c r="F98" s="81" t="inlineStr">
        <is>
          <t>Female</t>
        </is>
      </c>
      <c r="G98" s="81" t="n">
        <v>37664</v>
      </c>
      <c r="H98" s="81" t="inlineStr">
        <is>
          <t>Z6436475</t>
        </is>
      </c>
      <c r="I98" s="81" t="n">
        <v>7488455049</v>
      </c>
      <c r="J98" s="82" t="inlineStr">
        <is>
          <t>27/08/2025</t>
        </is>
      </c>
      <c r="K98" s="82" t="inlineStr">
        <is>
          <t>02/09/2025</t>
        </is>
      </c>
      <c r="L98" s="50">
        <f>IF(K98&lt;&gt;"",K98-J98,TODAY()-DATE(MID(J98,7,4),MID(J98,4,2),LEFT(J98,2)))</f>
        <v/>
      </c>
      <c r="M98" s="83" t="inlineStr">
        <is>
          <t>APS Received</t>
        </is>
      </c>
      <c r="N98" s="84" t="n">
        <v>77.59999999999999</v>
      </c>
      <c r="O98" s="84" t="n">
        <v>87.40000000000001</v>
      </c>
      <c r="P98" s="84" t="inlineStr">
        <is>
          <t>BA Hons Philosophy</t>
        </is>
      </c>
      <c r="Q98" s="84" t="inlineStr">
        <is>
          <t>Gargi College</t>
        </is>
      </c>
      <c r="R98" s="84" t="inlineStr">
        <is>
          <t>Delhi</t>
        </is>
      </c>
      <c r="S98" s="84" t="inlineStr">
        <is>
          <t>University of Delhi</t>
        </is>
      </c>
      <c r="T98" s="84" t="n">
        <v>2024</v>
      </c>
      <c r="U98" s="84" t="inlineStr">
        <is>
          <t>68% / 6.8 CGPA</t>
        </is>
      </c>
      <c r="V98" s="84" t="inlineStr">
        <is>
          <t>saachi.chowdhry@gargi.du.ac.in</t>
        </is>
      </c>
      <c r="W98" s="84" t="n"/>
      <c r="X98" s="84" t="n"/>
      <c r="Y98" s="84" t="n"/>
      <c r="Z98" s="84" t="n"/>
      <c r="AA98" s="84" t="n"/>
      <c r="AB98" s="84" t="n"/>
      <c r="AC98" s="84" t="n"/>
    </row>
    <row r="99" ht="28" customFormat="1" customHeight="1" s="66">
      <c r="A99" s="66" t="n">
        <v>95</v>
      </c>
      <c r="B99" s="85" t="n">
        <v>310588</v>
      </c>
      <c r="C99" s="85" t="inlineStr">
        <is>
          <t>Avipsu Sengupta</t>
        </is>
      </c>
      <c r="D99" s="85" t="inlineStr">
        <is>
          <t>avipsusengupta1998@gmail.com</t>
        </is>
      </c>
      <c r="E99" s="85" t="n"/>
      <c r="F99" s="85" t="inlineStr">
        <is>
          <t>Male</t>
        </is>
      </c>
      <c r="G99" s="85" t="n">
        <v>36094</v>
      </c>
      <c r="H99" s="85" t="inlineStr">
        <is>
          <t>R8848553</t>
        </is>
      </c>
      <c r="I99" s="85" t="n">
        <v>9937817996</v>
      </c>
      <c r="J99" s="86" t="inlineStr">
        <is>
          <t>19/08/2025</t>
        </is>
      </c>
      <c r="K99" s="86" t="inlineStr">
        <is>
          <t>30/09/2025</t>
        </is>
      </c>
      <c r="L99" s="50">
        <f>IF(K99&lt;&gt;"",K99-J99,TODAY()-DATE(MID(J99,7,4),MID(J99,4,2),LEFT(J99,2)))</f>
        <v/>
      </c>
      <c r="M99" s="87" t="inlineStr">
        <is>
          <t>APS Received</t>
        </is>
      </c>
      <c r="N99" s="88" t="n">
        <v>87.5</v>
      </c>
      <c r="O99" s="88" t="n">
        <v>75</v>
      </c>
      <c r="P99" s="88" t="n"/>
      <c r="Q99" s="88" t="n"/>
      <c r="R99" s="88" t="inlineStr">
        <is>
          <t>Siliguri, West Bengal</t>
        </is>
      </c>
      <c r="S99" s="88" t="n"/>
      <c r="T99" s="88" t="n"/>
      <c r="U99" s="88" t="n"/>
      <c r="V99" s="88" t="n"/>
      <c r="W99" s="88" t="n"/>
      <c r="X99" s="88" t="n"/>
      <c r="Y99" s="88" t="n"/>
      <c r="Z99" s="88" t="n"/>
      <c r="AA99" s="88" t="n"/>
      <c r="AB99" s="88" t="inlineStr">
        <is>
          <t>IELTS</t>
        </is>
      </c>
      <c r="AC99" s="88" t="n"/>
    </row>
    <row r="100" ht="42" customFormat="1" customHeight="1" s="43">
      <c r="A100" s="89" t="n">
        <v>96</v>
      </c>
      <c r="B100" s="81" t="n">
        <v>273662</v>
      </c>
      <c r="C100" s="81" t="inlineStr">
        <is>
          <t>Satvik Ala</t>
        </is>
      </c>
      <c r="D100" s="81" t="inlineStr">
        <is>
          <t>itsmesatvik12@gmail.com</t>
        </is>
      </c>
      <c r="E100" s="81" t="n"/>
      <c r="F100" s="81" t="inlineStr">
        <is>
          <t>Male</t>
        </is>
      </c>
      <c r="G100" s="81" t="n">
        <v>38423</v>
      </c>
      <c r="H100" s="81" t="inlineStr">
        <is>
          <t>C3091621</t>
        </is>
      </c>
      <c r="I100" s="81" t="n">
        <v>6302488421</v>
      </c>
      <c r="J100" s="82" t="inlineStr">
        <is>
          <t>30/01/2025</t>
        </is>
      </c>
      <c r="K100" s="82" t="inlineStr">
        <is>
          <t>09/05/2025</t>
        </is>
      </c>
      <c r="L100" s="50">
        <f>IF(K100&lt;&gt;"",K100-J100,TODAY()-DATE(MID(J100,7,4),MID(J100,4,2),LEFT(J100,2)))</f>
        <v/>
      </c>
      <c r="M100" s="83" t="inlineStr">
        <is>
          <t>APS Received</t>
        </is>
      </c>
      <c r="N100" s="84" t="n">
        <v>84.8</v>
      </c>
      <c r="O100" s="84" t="n">
        <v>95.59999999999999</v>
      </c>
      <c r="P100" s="84" t="inlineStr">
        <is>
          <t>BSc Computer Science</t>
        </is>
      </c>
      <c r="Q100" s="84" t="inlineStr">
        <is>
          <t>IU International University of Applied Sciences</t>
        </is>
      </c>
      <c r="R100" s="84" t="inlineStr">
        <is>
          <t>Online</t>
        </is>
      </c>
      <c r="S100" s="84" t="inlineStr">
        <is>
          <t>IU International University of Applied Sciences</t>
        </is>
      </c>
      <c r="T100" s="84" t="n"/>
      <c r="U100" s="84" t="n"/>
      <c r="V100" s="84" t="n"/>
      <c r="W100" s="84" t="n"/>
      <c r="X100" s="84" t="n"/>
      <c r="Y100" s="84" t="n"/>
      <c r="Z100" s="84" t="n"/>
      <c r="AA100" s="84" t="n"/>
      <c r="AB100" s="84" t="inlineStr">
        <is>
          <t>IELTS</t>
        </is>
      </c>
      <c r="AC100" s="84" t="n"/>
    </row>
    <row r="101" ht="42" customFormat="1" customHeight="1" s="66">
      <c r="A101" s="66" t="n">
        <v>97</v>
      </c>
      <c r="B101" s="85" t="n">
        <v>305283</v>
      </c>
      <c r="C101" s="85" t="inlineStr">
        <is>
          <t>Nuhayd Shaik</t>
        </is>
      </c>
      <c r="D101" s="85" t="inlineStr">
        <is>
          <t>nuhayd.m.k@gmail.com</t>
        </is>
      </c>
      <c r="E101" s="85" t="n"/>
      <c r="F101" s="85" t="inlineStr">
        <is>
          <t>Male</t>
        </is>
      </c>
      <c r="G101" s="85" t="n">
        <v>37995</v>
      </c>
      <c r="H101" s="85" t="inlineStr">
        <is>
          <t>B7937351</t>
        </is>
      </c>
      <c r="I101" s="85" t="n">
        <v>8904445302</v>
      </c>
      <c r="J101" s="86" t="inlineStr">
        <is>
          <t>15/07/2025</t>
        </is>
      </c>
      <c r="K101" s="86" t="inlineStr">
        <is>
          <t>20/08/2025</t>
        </is>
      </c>
      <c r="L101" s="50">
        <f>IF(K101&lt;&gt;"",K101-J101,TODAY()-DATE(MID(J101,7,4),MID(J101,4,2),LEFT(J101,2)))</f>
        <v/>
      </c>
      <c r="M101" s="87" t="inlineStr">
        <is>
          <t>APS Received</t>
        </is>
      </c>
      <c r="N101" s="88" t="n">
        <v>92.40000000000001</v>
      </c>
      <c r="O101" s="88" t="n">
        <v>96.59999999999999</v>
      </c>
      <c r="P101" s="88" t="inlineStr">
        <is>
          <t>B.E Artificial Intelligence and Machine Learning</t>
        </is>
      </c>
      <c r="Q101" s="88" t="inlineStr">
        <is>
          <t>Srinivas Institute of Technology</t>
        </is>
      </c>
      <c r="R101" s="88" t="inlineStr">
        <is>
          <t>Mangalore, Karnataka</t>
        </is>
      </c>
      <c r="S101" s="88" t="inlineStr">
        <is>
          <t>VTU (Visvesvaraya Technological University)</t>
        </is>
      </c>
      <c r="T101" s="88" t="n">
        <v>2025</v>
      </c>
      <c r="U101" s="88" t="inlineStr">
        <is>
          <t>86.9% / 8.7 CGPA</t>
        </is>
      </c>
      <c r="V101" s="88" t="n"/>
      <c r="W101" s="88" t="n"/>
      <c r="X101" s="88" t="n"/>
      <c r="Y101" s="88" t="n"/>
      <c r="Z101" s="88" t="n"/>
      <c r="AA101" s="88" t="n"/>
      <c r="AB101" s="88" t="n"/>
      <c r="AC101" s="88" t="n"/>
    </row>
    <row r="102" customFormat="1" s="43">
      <c r="A102" s="47" t="n">
        <v>98</v>
      </c>
      <c r="B102" s="47" t="n">
        <v>307187</v>
      </c>
      <c r="C102" s="47" t="inlineStr">
        <is>
          <t>Samrat Gade</t>
        </is>
      </c>
      <c r="D102" s="48" t="inlineStr">
        <is>
          <t>samrattgade@gmail.com</t>
        </is>
      </c>
      <c r="E102" s="47" t="n"/>
      <c r="F102" s="47" t="inlineStr">
        <is>
          <t>Male</t>
        </is>
      </c>
      <c r="G102" s="47" t="inlineStr">
        <is>
          <t>01/11/1997</t>
        </is>
      </c>
      <c r="H102" s="47" t="inlineStr">
        <is>
          <t>AE538692</t>
        </is>
      </c>
      <c r="I102" s="47" t="inlineStr">
        <is>
          <t>8879507854</t>
        </is>
      </c>
      <c r="J102" s="47" t="inlineStr">
        <is>
          <t>04/08/2025</t>
        </is>
      </c>
      <c r="K102" s="49" t="n"/>
      <c r="L102" s="50">
        <f>IF(K102&lt;&gt;"",K102-J102,TODAY()-DATE(MID(J102,7,4),MID(J102,4,2),LEFT(J102,2)))</f>
        <v/>
      </c>
      <c r="M102" s="51" t="inlineStr">
        <is>
          <t>Pending</t>
        </is>
      </c>
      <c r="N102" s="52" t="n">
        <v>58.2</v>
      </c>
      <c r="O102" s="52" t="n"/>
      <c r="P102" s="52" t="inlineStr">
        <is>
          <t>B.E (Mechanical)</t>
        </is>
      </c>
      <c r="Q102" s="52" t="inlineStr">
        <is>
          <t>SIT Sinhgad Institute Of Technology Lonavala</t>
        </is>
      </c>
      <c r="R102" s="52" t="inlineStr">
        <is>
          <t>Lonavala</t>
        </is>
      </c>
      <c r="S102" s="52" t="inlineStr">
        <is>
          <t>Savitribai Phule Pune University</t>
        </is>
      </c>
      <c r="T102" s="52" t="n">
        <v>2022</v>
      </c>
      <c r="U102" s="52" t="inlineStr">
        <is>
          <t>71.6% / 8 CGPA</t>
        </is>
      </c>
      <c r="V102" s="52" t="n"/>
      <c r="W102" s="52" t="inlineStr">
        <is>
          <t>Still Studying</t>
        </is>
      </c>
      <c r="X102" s="52" t="n"/>
      <c r="Y102" s="52" t="n"/>
      <c r="Z102" s="52" t="n"/>
      <c r="AA102" s="52" t="n"/>
      <c r="AB102" s="52" t="inlineStr">
        <is>
          <t>IELTS</t>
        </is>
      </c>
      <c r="AC102" s="52" t="n"/>
    </row>
    <row r="103" customFormat="1" s="43">
      <c r="A103" s="47" t="n">
        <v>99</v>
      </c>
      <c r="B103" s="47" t="n">
        <v>305240</v>
      </c>
      <c r="C103" s="47" t="inlineStr">
        <is>
          <t>Nandini Goyal</t>
        </is>
      </c>
      <c r="D103" s="48" t="inlineStr">
        <is>
          <t>nandini.goyal03@gmail.com</t>
        </is>
      </c>
      <c r="E103" s="47" t="n"/>
      <c r="F103" s="47" t="inlineStr">
        <is>
          <t>Female</t>
        </is>
      </c>
      <c r="G103" s="47" t="inlineStr">
        <is>
          <t>03/10/1996</t>
        </is>
      </c>
      <c r="H103" s="47" t="inlineStr">
        <is>
          <t>T6274647</t>
        </is>
      </c>
      <c r="I103" s="47" t="inlineStr">
        <is>
          <t>7620141411</t>
        </is>
      </c>
      <c r="J103" s="47" t="inlineStr">
        <is>
          <t>12/07/2025</t>
        </is>
      </c>
      <c r="K103" s="49" t="n"/>
      <c r="L103" s="50">
        <f>IF(K103&lt;&gt;"",K103-J103,TODAY()-DATE(MID(J103,7,4),MID(J103,4,2),LEFT(J103,2)))</f>
        <v/>
      </c>
      <c r="M103" s="51" t="inlineStr">
        <is>
          <t>Pending</t>
        </is>
      </c>
      <c r="N103" s="52" t="n">
        <v>9.800000000000001</v>
      </c>
      <c r="O103" s="52" t="n">
        <v>96.25</v>
      </c>
      <c r="P103" s="52" t="inlineStr">
        <is>
          <t>B.Com (Finance)</t>
        </is>
      </c>
      <c r="Q103" s="52" t="inlineStr">
        <is>
          <t>Brihan Maharashtra College of Commerce</t>
        </is>
      </c>
      <c r="R103" s="52" t="inlineStr">
        <is>
          <t>Pune</t>
        </is>
      </c>
      <c r="S103" s="52" t="inlineStr">
        <is>
          <t>Savitribai Phule Pune University</t>
        </is>
      </c>
      <c r="T103" s="52" t="n">
        <v>2014</v>
      </c>
      <c r="U103" s="52" t="inlineStr">
        <is>
          <t>74%</t>
        </is>
      </c>
      <c r="V103" s="52" t="n"/>
      <c r="W103" s="52" t="inlineStr">
        <is>
          <t>CA (Chartered Accountancy)</t>
        </is>
      </c>
      <c r="X103" s="52" t="n"/>
      <c r="Y103" s="52" t="inlineStr">
        <is>
          <t>Institute of Chartered Accountants of India</t>
        </is>
      </c>
      <c r="Z103" s="52" t="n">
        <v>2019</v>
      </c>
      <c r="AA103" s="52" t="n"/>
      <c r="AB103" s="52" t="inlineStr">
        <is>
          <t>IELTS</t>
        </is>
      </c>
      <c r="AC103" s="52" t="n"/>
    </row>
    <row r="104" customFormat="1" s="43">
      <c r="A104" s="47" t="n">
        <v>100</v>
      </c>
      <c r="B104" s="47" t="n">
        <v>299654</v>
      </c>
      <c r="C104" s="47" t="inlineStr">
        <is>
          <t>Beulah Marrivada</t>
        </is>
      </c>
      <c r="D104" s="48" t="inlineStr">
        <is>
          <t>beulahmarrivada@gmail.com</t>
        </is>
      </c>
      <c r="E104" s="47" t="n"/>
      <c r="F104" s="47" t="inlineStr">
        <is>
          <t>Female</t>
        </is>
      </c>
      <c r="G104" s="47" t="inlineStr">
        <is>
          <t>18/09/2007</t>
        </is>
      </c>
      <c r="H104" s="47" t="inlineStr">
        <is>
          <t>C0996892</t>
        </is>
      </c>
      <c r="I104" s="47" t="inlineStr">
        <is>
          <t>9441571948</t>
        </is>
      </c>
      <c r="J104" s="47" t="inlineStr">
        <is>
          <t>05/06/2025</t>
        </is>
      </c>
      <c r="K104" s="49" t="n"/>
      <c r="L104" s="50">
        <f>IF(K104&lt;&gt;"",K104-J104,TODAY()-DATE(MID(J104,7,4),MID(J104,4,2),LEFT(J104,2)))</f>
        <v/>
      </c>
      <c r="M104" s="51" t="inlineStr">
        <is>
          <t>Pending</t>
        </is>
      </c>
      <c r="N104" s="52" t="n">
        <v>90.09999999999999</v>
      </c>
      <c r="O104" s="52" t="n">
        <v>94.2</v>
      </c>
      <c r="P104" s="52" t="inlineStr">
        <is>
          <t>BSc Computer Science</t>
        </is>
      </c>
      <c r="Q104" s="52" t="inlineStr">
        <is>
          <t>IU International University of Applied Sciences</t>
        </is>
      </c>
      <c r="R104" s="52" t="n"/>
      <c r="S104" s="52" t="inlineStr">
        <is>
          <t>IU International University of Applied Sciences</t>
        </is>
      </c>
      <c r="T104" s="52" t="n"/>
      <c r="U104" s="52" t="inlineStr">
        <is>
          <t>Still Studying</t>
        </is>
      </c>
      <c r="V104" s="52" t="n"/>
      <c r="W104" s="52" t="n"/>
      <c r="X104" s="52" t="n"/>
      <c r="Y104" s="52" t="n"/>
      <c r="Z104" s="52" t="n"/>
      <c r="AA104" s="52" t="n"/>
      <c r="AB104" s="52" t="inlineStr">
        <is>
          <t>IELTS</t>
        </is>
      </c>
      <c r="AC104" s="52" t="n"/>
    </row>
    <row r="105" customFormat="1" s="43">
      <c r="A105" s="47" t="n">
        <v>101</v>
      </c>
      <c r="B105" s="47" t="n">
        <v>300687</v>
      </c>
      <c r="C105" s="47" t="inlineStr">
        <is>
          <t>Adil Kadirahmed Malik</t>
        </is>
      </c>
      <c r="D105" s="48" t="inlineStr">
        <is>
          <t>adil99malik@gmail.com</t>
        </is>
      </c>
      <c r="E105" s="47" t="n"/>
      <c r="F105" s="47" t="inlineStr">
        <is>
          <t>Male</t>
        </is>
      </c>
      <c r="G105" s="47" t="inlineStr">
        <is>
          <t>17/03/1999</t>
        </is>
      </c>
      <c r="H105" s="47" t="inlineStr">
        <is>
          <t>U1247082</t>
        </is>
      </c>
      <c r="I105" s="47" t="inlineStr">
        <is>
          <t>8320955474</t>
        </is>
      </c>
      <c r="J105" s="47" t="inlineStr">
        <is>
          <t>12/06/2025</t>
        </is>
      </c>
      <c r="K105" s="49" t="n"/>
      <c r="L105" s="50">
        <f>IF(K105&lt;&gt;"",K105-J105,TODAY()-DATE(MID(J105,7,4),MID(J105,4,2),LEFT(J105,2)))</f>
        <v/>
      </c>
      <c r="M105" s="51" t="inlineStr">
        <is>
          <t>Pending</t>
        </is>
      </c>
      <c r="N105" s="52" t="n">
        <v>64.59999999999999</v>
      </c>
      <c r="O105" s="52" t="n">
        <v>54</v>
      </c>
      <c r="P105" s="52" t="n"/>
      <c r="Q105" s="52" t="n"/>
      <c r="R105" s="52" t="inlineStr">
        <is>
          <t>Vadodara</t>
        </is>
      </c>
      <c r="S105" s="52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inlineStr">
        <is>
          <t>English</t>
        </is>
      </c>
      <c r="AC105" s="52" t="n"/>
    </row>
    <row r="106" customFormat="1" s="43">
      <c r="A106" s="47" t="n">
        <v>102</v>
      </c>
      <c r="B106" s="47" t="n">
        <v>299214</v>
      </c>
      <c r="C106" s="47" t="inlineStr">
        <is>
          <t>Sanketh Ponnappa AK</t>
        </is>
      </c>
      <c r="D106" s="48" t="inlineStr">
        <is>
          <t>sanketh.ponnappa@gmail.com</t>
        </is>
      </c>
      <c r="E106" s="47" t="n"/>
      <c r="F106" s="47" t="inlineStr">
        <is>
          <t>Male</t>
        </is>
      </c>
      <c r="G106" s="47" t="inlineStr">
        <is>
          <t>20/11/2000</t>
        </is>
      </c>
      <c r="H106" s="47" t="inlineStr">
        <is>
          <t>Y1174558</t>
        </is>
      </c>
      <c r="I106" s="47" t="inlineStr">
        <is>
          <t>7676257762</t>
        </is>
      </c>
      <c r="J106" s="47" t="inlineStr">
        <is>
          <t>03/06/2025</t>
        </is>
      </c>
      <c r="K106" s="49" t="n"/>
      <c r="L106" s="50">
        <f>IF(K106&lt;&gt;"",K106-J106,TODAY()-DATE(MID(J106,7,4),MID(J106,4,2),LEFT(J106,2)))</f>
        <v/>
      </c>
      <c r="M106" s="51" t="inlineStr">
        <is>
          <t>Pending</t>
        </is>
      </c>
      <c r="N106" s="52" t="n">
        <v>64.59999999999999</v>
      </c>
      <c r="O106" s="52" t="n">
        <v>81.88</v>
      </c>
      <c r="P106" s="52" t="inlineStr">
        <is>
          <t>BBA (Honours)</t>
        </is>
      </c>
      <c r="Q106" s="52" t="n"/>
      <c r="R106" s="52" t="n"/>
      <c r="S106" s="52" t="inlineStr">
        <is>
          <t>Reva University</t>
        </is>
      </c>
      <c r="T106" s="52" t="n">
        <v>2022</v>
      </c>
      <c r="U106" s="52" t="inlineStr">
        <is>
          <t>62.7% / 6.6 CGPA</t>
        </is>
      </c>
      <c r="V106" s="52" t="inlineStr">
        <is>
          <t>Krupa.s@reva.edu.in</t>
        </is>
      </c>
      <c r="W106" s="52" t="n"/>
      <c r="X106" s="52" t="n"/>
      <c r="Y106" s="52" t="n"/>
      <c r="Z106" s="52" t="n"/>
      <c r="AA106" s="52" t="n"/>
      <c r="AB106" s="52" t="n"/>
      <c r="AC106" s="52" t="n"/>
    </row>
    <row r="107" customFormat="1" s="43">
      <c r="A107" s="47" t="n">
        <v>103</v>
      </c>
      <c r="B107" s="47" t="n">
        <v>271563</v>
      </c>
      <c r="C107" s="47" t="inlineStr">
        <is>
          <t>Sharon M Das</t>
        </is>
      </c>
      <c r="D107" s="48" t="inlineStr">
        <is>
          <t>sharonmicha92@gmail.com</t>
        </is>
      </c>
      <c r="E107" s="47" t="n"/>
      <c r="F107" s="47" t="inlineStr">
        <is>
          <t>Male</t>
        </is>
      </c>
      <c r="G107" s="47" t="inlineStr">
        <is>
          <t>03/10/2001</t>
        </is>
      </c>
      <c r="H107" s="47" t="inlineStr">
        <is>
          <t>X6435556</t>
        </is>
      </c>
      <c r="I107" s="47" t="inlineStr">
        <is>
          <t>8157996732</t>
        </is>
      </c>
      <c r="J107" s="47" t="inlineStr">
        <is>
          <t>22/01/2025</t>
        </is>
      </c>
      <c r="K107" s="49" t="n"/>
      <c r="L107" s="50">
        <f>IF(K107&lt;&gt;"",K107-J107,TODAY()-DATE(MID(J107,7,4),MID(J107,4,2),LEFT(J107,2)))</f>
        <v/>
      </c>
      <c r="M107" s="51" t="inlineStr">
        <is>
          <t>Pending</t>
        </is>
      </c>
      <c r="N107" s="52" t="n">
        <v>51</v>
      </c>
      <c r="O107" s="52" t="n">
        <v>51</v>
      </c>
      <c r="P107" s="52" t="inlineStr">
        <is>
          <t>BBA</t>
        </is>
      </c>
      <c r="Q107" s="52" t="inlineStr">
        <is>
          <t>Lowry Adventist College</t>
        </is>
      </c>
      <c r="R107" s="52" t="inlineStr">
        <is>
          <t>Bengaluru</t>
        </is>
      </c>
      <c r="S107" s="52" t="inlineStr">
        <is>
          <t>Bengaluru North University</t>
        </is>
      </c>
      <c r="T107" s="52" t="n">
        <v>2024</v>
      </c>
      <c r="U107" s="52" t="inlineStr">
        <is>
          <t>7.0 CGPA</t>
        </is>
      </c>
      <c r="V107" s="52" t="inlineStr">
        <is>
          <t>ajaidavid@lowryinstitutions.org.in</t>
        </is>
      </c>
      <c r="W107" s="52" t="n"/>
      <c r="X107" s="52" t="n"/>
      <c r="Y107" s="52" t="n"/>
      <c r="Z107" s="52" t="n"/>
      <c r="AA107" s="52" t="n"/>
      <c r="AB107" s="52" t="n"/>
      <c r="AC107" s="52" t="n"/>
    </row>
    <row r="108" customFormat="1" s="43">
      <c r="A108" s="47" t="n">
        <v>104</v>
      </c>
      <c r="B108" s="47" t="n">
        <v>301749</v>
      </c>
      <c r="C108" s="47" t="inlineStr">
        <is>
          <t>Clavin Clement Rodrigues</t>
        </is>
      </c>
      <c r="D108" s="48" t="inlineStr">
        <is>
          <t>clavin.rodrigues44@gmail.com</t>
        </is>
      </c>
      <c r="E108" s="47" t="n"/>
      <c r="F108" s="47" t="inlineStr">
        <is>
          <t>Male</t>
        </is>
      </c>
      <c r="G108" s="47" t="inlineStr">
        <is>
          <t>03/05/1999</t>
        </is>
      </c>
      <c r="H108" s="47" t="inlineStr">
        <is>
          <t>T6555994</t>
        </is>
      </c>
      <c r="I108" s="47" t="inlineStr">
        <is>
          <t>7676777400</t>
        </is>
      </c>
      <c r="J108" s="47" t="inlineStr">
        <is>
          <t>19/06/2025</t>
        </is>
      </c>
      <c r="K108" s="49" t="n"/>
      <c r="L108" s="50">
        <f>IF(K108&lt;&gt;"",K108-J108,TODAY()-DATE(MID(J108,7,4),MID(J108,4,2),LEFT(J108,2)))</f>
        <v/>
      </c>
      <c r="M108" s="51" t="inlineStr">
        <is>
          <t>Pending</t>
        </is>
      </c>
      <c r="N108" s="52" t="n">
        <v>91.52</v>
      </c>
      <c r="O108" s="52" t="n">
        <v>79.5</v>
      </c>
      <c r="P108" s="52" t="inlineStr">
        <is>
          <t>BBA (Tourism and Travel)</t>
        </is>
      </c>
      <c r="Q108" s="52" t="inlineStr">
        <is>
          <t>Sahyadri Commerce and Management College</t>
        </is>
      </c>
      <c r="R108" s="52" t="inlineStr">
        <is>
          <t>Shimoga</t>
        </is>
      </c>
      <c r="S108" s="52" t="inlineStr">
        <is>
          <t>Kuvempu University</t>
        </is>
      </c>
      <c r="T108" s="52" t="n">
        <v>2022</v>
      </c>
      <c r="U108" s="52" t="inlineStr">
        <is>
          <t>66.56%</t>
        </is>
      </c>
      <c r="V108" s="52" t="n"/>
      <c r="W108" s="52" t="n"/>
      <c r="X108" s="52" t="n"/>
      <c r="Y108" s="52" t="n"/>
      <c r="Z108" s="52" t="n"/>
      <c r="AA108" s="52" t="n"/>
      <c r="AB108" s="52" t="inlineStr">
        <is>
          <t>English</t>
        </is>
      </c>
      <c r="AC108" s="52" t="n"/>
    </row>
    <row r="109" customFormat="1" s="43">
      <c r="A109" s="47" t="n">
        <v>105</v>
      </c>
      <c r="B109" s="47" t="n">
        <v>300141</v>
      </c>
      <c r="C109" s="47" t="inlineStr">
        <is>
          <t>Kavya Channabasappa</t>
        </is>
      </c>
      <c r="D109" s="48" t="inlineStr">
        <is>
          <t>uppara.kavyac@gmail.com</t>
        </is>
      </c>
      <c r="E109" s="47" t="n"/>
      <c r="F109" s="47" t="inlineStr">
        <is>
          <t>Female</t>
        </is>
      </c>
      <c r="G109" s="47" t="inlineStr">
        <is>
          <t>09/05/1999</t>
        </is>
      </c>
      <c r="H109" s="47" t="inlineStr">
        <is>
          <t>U2804786</t>
        </is>
      </c>
      <c r="I109" s="47" t="inlineStr">
        <is>
          <t>7760854202</t>
        </is>
      </c>
      <c r="J109" s="47" t="inlineStr">
        <is>
          <t>09/06/2025</t>
        </is>
      </c>
      <c r="K109" s="49" t="n"/>
      <c r="L109" s="50">
        <f>IF(K109&lt;&gt;"",K109-J109,TODAY()-DATE(MID(J109,7,4),MID(J109,4,2),LEFT(J109,2)))</f>
        <v/>
      </c>
      <c r="M109" s="51" t="inlineStr">
        <is>
          <t>Pending</t>
        </is>
      </c>
      <c r="N109" s="52" t="n">
        <v>77.12</v>
      </c>
      <c r="O109" s="52" t="n"/>
      <c r="P109" s="52" t="inlineStr">
        <is>
          <t>B.Com (Accounting &amp; Taxation)</t>
        </is>
      </c>
      <c r="Q109" s="52" t="inlineStr">
        <is>
          <t>Sidganga Evening College</t>
        </is>
      </c>
      <c r="R109" s="52" t="inlineStr">
        <is>
          <t>Bengaluru</t>
        </is>
      </c>
      <c r="S109" s="52" t="inlineStr">
        <is>
          <t>Bangalore University</t>
        </is>
      </c>
      <c r="T109" s="52" t="n">
        <v>2019</v>
      </c>
      <c r="U109" s="52" t="inlineStr">
        <is>
          <t>6.8 CGPA</t>
        </is>
      </c>
      <c r="V109" s="52" t="inlineStr">
        <is>
          <t>registrar@bangaloreuniversity.ac.in</t>
        </is>
      </c>
      <c r="W109" s="52" t="n"/>
      <c r="X109" s="52" t="n"/>
      <c r="Y109" s="52" t="n"/>
      <c r="Z109" s="52" t="n"/>
      <c r="AA109" s="52" t="n"/>
      <c r="AB109" s="52" t="n"/>
      <c r="AC109" s="52" t="n"/>
    </row>
    <row r="110" customFormat="1" s="43">
      <c r="A110" s="47" t="n">
        <v>106</v>
      </c>
      <c r="B110" s="47" t="n">
        <v>296931</v>
      </c>
      <c r="C110" s="47" t="inlineStr">
        <is>
          <t>Preetham Uthappa</t>
        </is>
      </c>
      <c r="D110" s="48" t="inlineStr">
        <is>
          <t>preetham022006@gmail.com</t>
        </is>
      </c>
      <c r="E110" s="47" t="n"/>
      <c r="F110" s="47" t="inlineStr">
        <is>
          <t>Male</t>
        </is>
      </c>
      <c r="G110" s="47" t="inlineStr">
        <is>
          <t>02/06/2006</t>
        </is>
      </c>
      <c r="H110" s="47" t="inlineStr">
        <is>
          <t>C0535253</t>
        </is>
      </c>
      <c r="I110" s="47" t="inlineStr">
        <is>
          <t>7975796027</t>
        </is>
      </c>
      <c r="J110" s="47" t="inlineStr">
        <is>
          <t>24/05/2025</t>
        </is>
      </c>
      <c r="K110" s="49" t="n"/>
      <c r="L110" s="50">
        <f>IF(K110&lt;&gt;"",K110-J110,TODAY()-DATE(MID(J110,7,4),MID(J110,4,2),LEFT(J110,2)))</f>
        <v/>
      </c>
      <c r="M110" s="51" t="inlineStr">
        <is>
          <t>Pending</t>
        </is>
      </c>
      <c r="N110" s="52" t="n">
        <v>90</v>
      </c>
      <c r="O110" s="52" t="n">
        <v>84</v>
      </c>
      <c r="P110" s="52" t="n"/>
      <c r="Q110" s="52" t="n"/>
      <c r="R110" s="52" t="inlineStr">
        <is>
          <t>Mysuru</t>
        </is>
      </c>
      <c r="S110" s="52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</row>
    <row r="111" customFormat="1" s="43">
      <c r="A111" s="47" t="n">
        <v>107</v>
      </c>
      <c r="B111" s="47" t="n">
        <v>298757</v>
      </c>
      <c r="C111" s="47" t="inlineStr">
        <is>
          <t>Chandan S S</t>
        </is>
      </c>
      <c r="D111" s="48" t="inlineStr">
        <is>
          <t>chandansrinivasa09@gmail.com</t>
        </is>
      </c>
      <c r="E111" s="47" t="n"/>
      <c r="F111" s="47" t="inlineStr">
        <is>
          <t>Male</t>
        </is>
      </c>
      <c r="G111" s="47" t="inlineStr">
        <is>
          <t>09/09/1998</t>
        </is>
      </c>
      <c r="H111" s="47" t="inlineStr">
        <is>
          <t>X6939814</t>
        </is>
      </c>
      <c r="I111" s="47" t="inlineStr">
        <is>
          <t>8660287008</t>
        </is>
      </c>
      <c r="J111" s="47" t="inlineStr">
        <is>
          <t>31/05/2025</t>
        </is>
      </c>
      <c r="K111" s="49" t="n"/>
      <c r="L111" s="50">
        <f>IF(K111&lt;&gt;"",K111-J111,TODAY()-DATE(MID(J111,7,4),MID(J111,4,2),LEFT(J111,2)))</f>
        <v/>
      </c>
      <c r="M111" s="51" t="inlineStr">
        <is>
          <t>Pending</t>
        </is>
      </c>
      <c r="N111" s="52" t="n">
        <v>68.64</v>
      </c>
      <c r="O111" s="52" t="n">
        <v>58.83</v>
      </c>
      <c r="P111" s="52" t="inlineStr">
        <is>
          <t>B.Com (Finance)</t>
        </is>
      </c>
      <c r="Q111" s="52" t="inlineStr">
        <is>
          <t>Jain College</t>
        </is>
      </c>
      <c r="R111" s="52" t="inlineStr">
        <is>
          <t>Bangalore</t>
        </is>
      </c>
      <c r="S111" s="52" t="inlineStr">
        <is>
          <t>Bangalore University</t>
        </is>
      </c>
      <c r="T111" s="52" t="n">
        <v>2019</v>
      </c>
      <c r="U111" s="52" t="inlineStr">
        <is>
          <t>7.3 CGPA</t>
        </is>
      </c>
      <c r="V111" s="52" t="inlineStr">
        <is>
          <t>registrarevaluation@bub.ernet.in</t>
        </is>
      </c>
      <c r="W111" s="52" t="n"/>
      <c r="X111" s="52" t="n"/>
      <c r="Y111" s="52" t="n"/>
      <c r="Z111" s="52" t="n"/>
      <c r="AA111" s="52" t="n"/>
      <c r="AB111" s="52" t="n"/>
      <c r="AC111" s="52" t="n"/>
    </row>
    <row r="112" customFormat="1" s="43">
      <c r="A112" s="47" t="n">
        <v>108</v>
      </c>
      <c r="B112" s="47" t="n">
        <v>292523</v>
      </c>
      <c r="C112" s="47" t="inlineStr">
        <is>
          <t>Lateshkumar N</t>
        </is>
      </c>
      <c r="D112" s="48" t="inlineStr">
        <is>
          <t>snlatesh@gmail.com</t>
        </is>
      </c>
      <c r="E112" s="47" t="n"/>
      <c r="F112" s="47" t="inlineStr">
        <is>
          <t>Male</t>
        </is>
      </c>
      <c r="G112" s="47" t="inlineStr">
        <is>
          <t>12/02/2001</t>
        </is>
      </c>
      <c r="H112" s="47" t="inlineStr">
        <is>
          <t>C4062119</t>
        </is>
      </c>
      <c r="I112" s="47" t="inlineStr">
        <is>
          <t>6366800142</t>
        </is>
      </c>
      <c r="J112" s="47" t="inlineStr">
        <is>
          <t>25/04/2025</t>
        </is>
      </c>
      <c r="K112" s="49" t="n"/>
      <c r="L112" s="50">
        <f>IF(K112&lt;&gt;"",K112-J112,TODAY()-DATE(MID(J112,7,4),MID(J112,4,2),LEFT(J112,2)))</f>
        <v/>
      </c>
      <c r="M112" s="51" t="inlineStr">
        <is>
          <t>Pending</t>
        </is>
      </c>
      <c r="N112" s="52" t="n">
        <v>7.8</v>
      </c>
      <c r="O112" s="52" t="n"/>
      <c r="P112" s="52" t="inlineStr">
        <is>
          <t>B.E (Electrical &amp; Electronics)</t>
        </is>
      </c>
      <c r="Q112" s="52" t="inlineStr">
        <is>
          <t>Malnad College of Engineering</t>
        </is>
      </c>
      <c r="R112" s="52" t="inlineStr">
        <is>
          <t>Hassan</t>
        </is>
      </c>
      <c r="S112" s="52" t="inlineStr">
        <is>
          <t>Visvesvaraya Technological University</t>
        </is>
      </c>
      <c r="T112" s="52" t="n">
        <v>2024</v>
      </c>
      <c r="U112" s="52" t="inlineStr">
        <is>
          <t>5.5 CGPA</t>
        </is>
      </c>
      <c r="V112" s="52" t="inlineStr">
        <is>
          <t>sr@mcehassan.ac.in</t>
        </is>
      </c>
      <c r="W112" s="52" t="n"/>
      <c r="X112" s="52" t="n"/>
      <c r="Y112" s="52" t="n"/>
      <c r="Z112" s="52" t="n"/>
      <c r="AA112" s="52" t="n"/>
      <c r="AB112" s="52" t="n"/>
      <c r="AC112" s="52" t="n"/>
    </row>
    <row r="113" customFormat="1" s="43">
      <c r="A113" s="47" t="n">
        <v>109</v>
      </c>
      <c r="B113" s="47" t="n">
        <v>292131</v>
      </c>
      <c r="C113" s="47" t="inlineStr">
        <is>
          <t>Numan Tariq Fafoo</t>
        </is>
      </c>
      <c r="D113" s="48" t="inlineStr">
        <is>
          <t>numanfafoo@gmail.com</t>
        </is>
      </c>
      <c r="E113" s="47" t="n"/>
      <c r="F113" s="47" t="inlineStr">
        <is>
          <t>Male</t>
        </is>
      </c>
      <c r="G113" s="47" t="inlineStr">
        <is>
          <t>31/01/2005</t>
        </is>
      </c>
      <c r="H113" s="47" t="inlineStr">
        <is>
          <t>X3041482</t>
        </is>
      </c>
      <c r="I113" s="47" t="inlineStr">
        <is>
          <t>7006405956</t>
        </is>
      </c>
      <c r="J113" s="47" t="inlineStr">
        <is>
          <t>24/04/2025</t>
        </is>
      </c>
      <c r="K113" s="49" t="n"/>
      <c r="L113" s="50">
        <f>IF(K113&lt;&gt;"",K113-J113,TODAY()-DATE(MID(J113,7,4),MID(J113,4,2),LEFT(J113,2)))</f>
        <v/>
      </c>
      <c r="M113" s="51" t="inlineStr">
        <is>
          <t>Pending</t>
        </is>
      </c>
      <c r="N113" s="52" t="n">
        <v>66.59999999999999</v>
      </c>
      <c r="O113" s="52" t="n">
        <v>68.59999999999999</v>
      </c>
      <c r="P113" s="52" t="inlineStr">
        <is>
          <t>B.Sc Computer Science</t>
        </is>
      </c>
      <c r="Q113" s="52" t="inlineStr">
        <is>
          <t>IU International University of Applied Sciences</t>
        </is>
      </c>
      <c r="R113" s="52" t="inlineStr">
        <is>
          <t>Baramulla, J&amp;K</t>
        </is>
      </c>
      <c r="S113" s="52" t="inlineStr">
        <is>
          <t>IU International University of Applied Sciences</t>
        </is>
      </c>
      <c r="T113" s="52" t="n">
        <v>2027</v>
      </c>
      <c r="U113" s="52" t="inlineStr">
        <is>
          <t>Still Studying</t>
        </is>
      </c>
      <c r="V113" s="52" t="inlineStr">
        <is>
          <t>cornelia.heinisch@iu.org</t>
        </is>
      </c>
      <c r="W113" s="52" t="n"/>
      <c r="X113" s="52" t="n"/>
      <c r="Y113" s="52" t="n"/>
      <c r="Z113" s="52" t="n"/>
      <c r="AA113" s="52" t="n"/>
      <c r="AB113" s="52" t="inlineStr">
        <is>
          <t>English</t>
        </is>
      </c>
      <c r="AC113" s="52" t="n"/>
    </row>
    <row r="114" customFormat="1" s="43">
      <c r="A114" s="47" t="n">
        <v>110</v>
      </c>
      <c r="B114" s="47" t="n">
        <v>289370</v>
      </c>
      <c r="C114" s="47" t="inlineStr">
        <is>
          <t>Manikanta Narayanadas</t>
        </is>
      </c>
      <c r="D114" s="48" t="inlineStr">
        <is>
          <t>manikantanarayanadas123@gmail.com</t>
        </is>
      </c>
      <c r="E114" s="47" t="n"/>
      <c r="F114" s="47" t="inlineStr">
        <is>
          <t>Male</t>
        </is>
      </c>
      <c r="G114" s="47" t="inlineStr">
        <is>
          <t>12/01/2003</t>
        </is>
      </c>
      <c r="H114" s="47" t="inlineStr">
        <is>
          <t>Y7392930</t>
        </is>
      </c>
      <c r="I114" s="47" t="inlineStr">
        <is>
          <t>9392380793</t>
        </is>
      </c>
      <c r="J114" s="47" t="inlineStr">
        <is>
          <t>08/04/2025</t>
        </is>
      </c>
      <c r="K114" s="49" t="n"/>
      <c r="L114" s="50">
        <f>IF(K114&lt;&gt;"",K114-J114,TODAY()-DATE(MID(J114,7,4),MID(J114,4,2),LEFT(J114,2)))</f>
        <v/>
      </c>
      <c r="M114" s="51" t="inlineStr">
        <is>
          <t>Pending</t>
        </is>
      </c>
      <c r="N114" s="52" t="n">
        <v>82.65000000000001</v>
      </c>
      <c r="O114" s="52" t="n">
        <v>79.90000000000001</v>
      </c>
      <c r="P114" s="52" t="inlineStr">
        <is>
          <t>B.Tech (CSE)</t>
        </is>
      </c>
      <c r="Q114" s="52" t="inlineStr">
        <is>
          <t>GITAM</t>
        </is>
      </c>
      <c r="R114" s="52" t="inlineStr">
        <is>
          <t>Hyderabad</t>
        </is>
      </c>
      <c r="S114" s="52" t="inlineStr">
        <is>
          <t>GITAM</t>
        </is>
      </c>
      <c r="T114" s="52" t="n">
        <v>2024</v>
      </c>
      <c r="U114" s="52" t="inlineStr">
        <is>
          <t>67.83% / 7 CGPA</t>
        </is>
      </c>
      <c r="V114" s="52" t="inlineStr">
        <is>
          <t>vkommana@gitam.edu</t>
        </is>
      </c>
      <c r="W114" s="52" t="n"/>
      <c r="X114" s="52" t="n"/>
      <c r="Y114" s="52" t="n"/>
      <c r="Z114" s="52" t="n"/>
      <c r="AA114" s="52" t="n"/>
      <c r="AB114" s="52" t="inlineStr">
        <is>
          <t>English</t>
        </is>
      </c>
      <c r="AC114" s="52" t="n"/>
    </row>
    <row r="115" customFormat="1" s="43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70" t="n"/>
      <c r="K115" s="70" t="n"/>
      <c r="L115" s="90" t="n"/>
    </row>
    <row r="116" customFormat="1" s="43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70" t="n"/>
      <c r="K116" s="70" t="n"/>
      <c r="L116" s="90" t="n"/>
    </row>
    <row r="117" customFormat="1" s="43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70" t="n"/>
      <c r="K117" s="70" t="n"/>
      <c r="L117" s="90" t="n"/>
    </row>
    <row r="118" customFormat="1" s="43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70" t="n"/>
      <c r="K118" s="70" t="n"/>
      <c r="L118" s="90" t="n"/>
    </row>
    <row r="119" customFormat="1" s="43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70" t="n"/>
      <c r="K119" s="70" t="n"/>
      <c r="L119" s="90" t="n"/>
    </row>
    <row r="120" customFormat="1" s="43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70" t="n"/>
      <c r="K120" s="70" t="n"/>
      <c r="L120" s="90" t="n"/>
    </row>
    <row r="121" customFormat="1" s="43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70" t="n"/>
      <c r="K121" s="70" t="n"/>
      <c r="L121" s="90" t="n"/>
    </row>
    <row r="122" customFormat="1" s="43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70" t="n"/>
      <c r="K122" s="70" t="n"/>
      <c r="L122" s="90" t="n"/>
    </row>
    <row r="123" customFormat="1" s="4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70" t="n"/>
      <c r="K123" s="70" t="n"/>
      <c r="L123" s="90" t="n"/>
    </row>
    <row r="124" customFormat="1" s="43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70" t="n"/>
      <c r="K124" s="70" t="n"/>
      <c r="L124" s="90" t="n"/>
    </row>
    <row r="125" customFormat="1" s="43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70" t="n"/>
      <c r="K125" s="70" t="n"/>
      <c r="L125" s="90" t="n"/>
    </row>
    <row r="126" customFormat="1" s="43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70" t="n"/>
      <c r="K126" s="70" t="n"/>
      <c r="L126" s="90" t="n"/>
    </row>
    <row r="127" customFormat="1" s="43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70" t="n"/>
      <c r="K127" s="70" t="n"/>
      <c r="L127" s="90" t="n"/>
    </row>
    <row r="128" customFormat="1" s="43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70" t="n"/>
      <c r="K128" s="70" t="n"/>
      <c r="L128" s="90" t="n"/>
    </row>
    <row r="129" customFormat="1" s="43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70" t="n"/>
      <c r="K129" s="70" t="n"/>
      <c r="L129" s="90" t="n"/>
    </row>
    <row r="130" customFormat="1" s="43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70" t="n"/>
      <c r="K130" s="70" t="n"/>
      <c r="L130" s="90" t="n"/>
    </row>
    <row r="131" customFormat="1" s="43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70" t="n"/>
      <c r="K131" s="70" t="n"/>
      <c r="L131" s="90" t="n"/>
    </row>
    <row r="132" customFormat="1" s="43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70" t="n"/>
      <c r="K132" s="70" t="n"/>
      <c r="L132" s="90" t="n"/>
    </row>
    <row r="133" customFormat="1" s="4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70" t="n"/>
      <c r="K133" s="70" t="n"/>
      <c r="L133" s="90" t="n"/>
    </row>
    <row r="134" customFormat="1" s="43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70" t="n"/>
      <c r="K134" s="70" t="n"/>
      <c r="L134" s="90" t="n"/>
    </row>
    <row r="135" customFormat="1" s="43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70" t="n"/>
      <c r="K135" s="70" t="n"/>
      <c r="L135" s="90" t="n"/>
    </row>
    <row r="136" customFormat="1" s="43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70" t="n"/>
      <c r="K136" s="70" t="n"/>
      <c r="L136" s="90" t="n"/>
    </row>
    <row r="137" customFormat="1" s="43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70" t="n"/>
      <c r="K137" s="70" t="n"/>
      <c r="L137" s="90" t="n"/>
    </row>
    <row r="138" customFormat="1" s="43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70" t="n"/>
      <c r="K138" s="70" t="n"/>
      <c r="L138" s="90" t="n"/>
    </row>
    <row r="139" customFormat="1" s="43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70" t="n"/>
      <c r="K139" s="70" t="n"/>
      <c r="L139" s="90" t="n"/>
    </row>
    <row r="140" customFormat="1" s="43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70" t="n"/>
      <c r="K140" s="70" t="n"/>
      <c r="L140" s="90" t="n"/>
    </row>
    <row r="141" customFormat="1" s="43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70" t="n"/>
      <c r="K141" s="70" t="n"/>
      <c r="L141" s="90" t="n"/>
    </row>
    <row r="142" customFormat="1" s="43">
      <c r="J142" s="91" t="n"/>
      <c r="K142" s="91" t="n"/>
      <c r="L142" s="90" t="n"/>
    </row>
    <row r="143" customFormat="1" s="43">
      <c r="J143" s="91" t="n"/>
      <c r="K143" s="91" t="n"/>
      <c r="L143" s="90" t="n"/>
    </row>
    <row r="144" customFormat="1" s="43">
      <c r="J144" s="91" t="n"/>
      <c r="K144" s="91" t="n"/>
      <c r="L144" s="90" t="n"/>
    </row>
    <row r="145" customFormat="1" s="43">
      <c r="J145" s="91" t="n"/>
      <c r="K145" s="91" t="n"/>
      <c r="L145" s="90" t="n"/>
    </row>
    <row r="146" customFormat="1" s="43">
      <c r="J146" s="91" t="n"/>
      <c r="K146" s="91" t="n"/>
      <c r="L146" s="90" t="n"/>
    </row>
    <row r="147" customFormat="1" s="43">
      <c r="J147" s="91" t="n"/>
      <c r="K147" s="91" t="n"/>
      <c r="L147" s="90" t="n"/>
    </row>
    <row r="148" customFormat="1" s="43">
      <c r="J148" s="91" t="n"/>
      <c r="K148" s="91" t="n"/>
      <c r="L148" s="90" t="n"/>
    </row>
    <row r="149" customFormat="1" s="43">
      <c r="J149" s="91" t="n"/>
      <c r="K149" s="91" t="n"/>
      <c r="L149" s="90" t="n"/>
    </row>
    <row r="150" customFormat="1" s="43">
      <c r="J150" s="91" t="n"/>
      <c r="K150" s="91" t="n"/>
      <c r="L150" s="90" t="n"/>
    </row>
    <row r="151" customFormat="1" s="43">
      <c r="J151" s="91" t="n"/>
      <c r="K151" s="91" t="n"/>
      <c r="L151" s="90" t="n"/>
    </row>
    <row r="152" customFormat="1" s="43">
      <c r="J152" s="91" t="n"/>
      <c r="K152" s="91" t="n"/>
      <c r="L152" s="90" t="n"/>
    </row>
    <row r="153" customFormat="1" s="43">
      <c r="J153" s="91" t="n"/>
      <c r="K153" s="91" t="n"/>
      <c r="L153" s="90" t="n"/>
    </row>
    <row r="154" customFormat="1" s="43">
      <c r="J154" s="91" t="n"/>
      <c r="K154" s="91" t="n"/>
      <c r="L154" s="90" t="n"/>
    </row>
    <row r="155" customFormat="1" s="43">
      <c r="J155" s="91" t="n"/>
      <c r="K155" s="91" t="n"/>
      <c r="L155" s="90" t="n"/>
    </row>
    <row r="156" customFormat="1" s="43">
      <c r="J156" s="91" t="n"/>
      <c r="K156" s="91" t="n"/>
      <c r="L156" s="90" t="n"/>
    </row>
    <row r="157" customFormat="1" s="43">
      <c r="J157" s="91" t="n"/>
      <c r="K157" s="91" t="n"/>
      <c r="L157" s="90" t="n"/>
    </row>
    <row r="158" customFormat="1" s="43">
      <c r="J158" s="91" t="n"/>
      <c r="K158" s="91" t="n"/>
      <c r="L158" s="90" t="n"/>
    </row>
    <row r="159" customFormat="1" s="43">
      <c r="J159" s="91" t="n"/>
      <c r="K159" s="91" t="n"/>
      <c r="L159" s="90" t="n"/>
    </row>
    <row r="160" customFormat="1" s="43">
      <c r="J160" s="91" t="n"/>
      <c r="K160" s="91" t="n"/>
      <c r="L160" s="90" t="n"/>
    </row>
    <row r="161" customFormat="1" s="43">
      <c r="J161" s="91" t="n"/>
      <c r="K161" s="91" t="n"/>
      <c r="L161" s="90" t="n"/>
    </row>
    <row r="162" customFormat="1" s="43">
      <c r="J162" s="91" t="n"/>
      <c r="K162" s="91" t="n"/>
      <c r="L162" s="90" t="n"/>
    </row>
    <row r="163" customFormat="1" s="43">
      <c r="J163" s="91" t="n"/>
      <c r="K163" s="91" t="n"/>
      <c r="L163" s="90" t="n"/>
    </row>
    <row r="164" customFormat="1" s="43">
      <c r="J164" s="91" t="n"/>
      <c r="K164" s="91" t="n"/>
      <c r="L164" s="90" t="n"/>
    </row>
    <row r="165" customFormat="1" s="43">
      <c r="J165" s="91" t="n"/>
      <c r="K165" s="91" t="n"/>
      <c r="L165" s="90" t="n"/>
    </row>
    <row r="166" customFormat="1" s="43">
      <c r="J166" s="91" t="n"/>
      <c r="K166" s="91" t="n"/>
      <c r="L166" s="90" t="n"/>
    </row>
    <row r="167" customFormat="1" s="43">
      <c r="J167" s="91" t="n"/>
      <c r="K167" s="91" t="n"/>
      <c r="L167" s="90" t="n"/>
    </row>
    <row r="168" customFormat="1" s="43">
      <c r="J168" s="91" t="n"/>
      <c r="K168" s="91" t="n"/>
      <c r="L168" s="90" t="n"/>
    </row>
    <row r="169" customFormat="1" s="43">
      <c r="J169" s="91" t="n"/>
      <c r="K169" s="91" t="n"/>
      <c r="L169" s="90" t="n"/>
    </row>
    <row r="170" customFormat="1" s="43">
      <c r="J170" s="91" t="n"/>
      <c r="K170" s="91" t="n"/>
      <c r="L170" s="90" t="n"/>
    </row>
    <row r="171" customFormat="1" s="43">
      <c r="J171" s="91" t="n"/>
      <c r="K171" s="91" t="n"/>
      <c r="L171" s="90" t="n"/>
    </row>
    <row r="172" customFormat="1" s="43">
      <c r="J172" s="91" t="n"/>
      <c r="K172" s="91" t="n"/>
      <c r="L172" s="90" t="n"/>
    </row>
    <row r="173" customFormat="1" s="43">
      <c r="J173" s="91" t="n"/>
      <c r="K173" s="91" t="n"/>
      <c r="L173" s="90" t="n"/>
    </row>
    <row r="174" customFormat="1" s="43">
      <c r="J174" s="91" t="n"/>
      <c r="K174" s="91" t="n"/>
      <c r="L174" s="90" t="n"/>
    </row>
    <row r="175" customFormat="1" s="43">
      <c r="J175" s="91" t="n"/>
      <c r="K175" s="91" t="n"/>
      <c r="L175" s="90" t="n"/>
    </row>
    <row r="176" customFormat="1" s="43">
      <c r="J176" s="91" t="n"/>
      <c r="K176" s="91" t="n"/>
      <c r="L176" s="90" t="n"/>
    </row>
    <row r="177" customFormat="1" s="43">
      <c r="J177" s="91" t="n"/>
      <c r="K177" s="91" t="n"/>
      <c r="L177" s="90" t="n"/>
    </row>
    <row r="178" customFormat="1" s="43">
      <c r="J178" s="91" t="n"/>
      <c r="K178" s="91" t="n"/>
      <c r="L178" s="90" t="n"/>
    </row>
    <row r="179" customFormat="1" s="43">
      <c r="J179" s="91" t="n"/>
      <c r="K179" s="91" t="n"/>
      <c r="L179" s="90" t="n"/>
    </row>
    <row r="180" customFormat="1" s="43">
      <c r="J180" s="91" t="n"/>
      <c r="K180" s="91" t="n"/>
      <c r="L180" s="90" t="n"/>
    </row>
    <row r="181" customFormat="1" s="43">
      <c r="J181" s="91" t="n"/>
      <c r="K181" s="91" t="n"/>
      <c r="L181" s="90" t="n"/>
    </row>
    <row r="182" customFormat="1" s="43">
      <c r="J182" s="91" t="n"/>
      <c r="K182" s="91" t="n"/>
      <c r="L182" s="90" t="n"/>
    </row>
    <row r="183" customFormat="1" s="43">
      <c r="J183" s="91" t="n"/>
      <c r="K183" s="91" t="n"/>
      <c r="L183" s="90" t="n"/>
    </row>
    <row r="184" customFormat="1" s="43">
      <c r="J184" s="91" t="n"/>
      <c r="K184" s="91" t="n"/>
      <c r="L184" s="90" t="n"/>
    </row>
    <row r="185" customFormat="1" s="43">
      <c r="J185" s="91" t="n"/>
      <c r="K185" s="91" t="n"/>
      <c r="L185" s="90" t="n"/>
    </row>
    <row r="186" customFormat="1" s="43">
      <c r="J186" s="91" t="n"/>
      <c r="K186" s="91" t="n"/>
      <c r="L186" s="90" t="n"/>
    </row>
    <row r="187" customFormat="1" s="43">
      <c r="J187" s="91" t="n"/>
      <c r="K187" s="91" t="n"/>
      <c r="L187" s="90" t="n"/>
    </row>
    <row r="188" customFormat="1" s="43">
      <c r="J188" s="91" t="n"/>
      <c r="K188" s="91" t="n"/>
      <c r="L188" s="90" t="n"/>
    </row>
    <row r="189" customFormat="1" s="43">
      <c r="J189" s="91" t="n"/>
      <c r="K189" s="91" t="n"/>
      <c r="L189" s="90" t="n"/>
    </row>
    <row r="190" customFormat="1" s="43">
      <c r="J190" s="91" t="n"/>
      <c r="K190" s="91" t="n"/>
      <c r="L190" s="90" t="n"/>
    </row>
    <row r="191" customFormat="1" s="43">
      <c r="J191" s="91" t="n"/>
      <c r="K191" s="91" t="n"/>
      <c r="L191" s="90" t="n"/>
    </row>
    <row r="192" customFormat="1" s="43">
      <c r="J192" s="91" t="n"/>
      <c r="K192" s="91" t="n"/>
      <c r="L192" s="90" t="n"/>
    </row>
    <row r="193" customFormat="1" s="43">
      <c r="J193" s="91" t="n"/>
      <c r="K193" s="91" t="n"/>
      <c r="L193" s="90" t="n"/>
    </row>
    <row r="194" customFormat="1" s="43">
      <c r="J194" s="91" t="n"/>
      <c r="K194" s="91" t="n"/>
      <c r="L194" s="90" t="n"/>
    </row>
    <row r="195" customFormat="1" s="43">
      <c r="J195" s="91" t="n"/>
      <c r="K195" s="91" t="n"/>
      <c r="L195" s="90" t="n"/>
    </row>
    <row r="196" customFormat="1" s="43">
      <c r="J196" s="91" t="n"/>
      <c r="K196" s="91" t="n"/>
      <c r="L196" s="90" t="n"/>
    </row>
    <row r="197" customFormat="1" s="43">
      <c r="J197" s="91" t="n"/>
      <c r="K197" s="91" t="n"/>
      <c r="L197" s="90" t="n"/>
    </row>
    <row r="198" customFormat="1" s="43">
      <c r="J198" s="91" t="n"/>
      <c r="K198" s="91" t="n"/>
      <c r="L198" s="90" t="n"/>
    </row>
    <row r="199" customFormat="1" s="43">
      <c r="J199" s="91" t="n"/>
      <c r="K199" s="91" t="n"/>
      <c r="L199" s="90" t="n"/>
    </row>
    <row r="200" customFormat="1" s="43">
      <c r="J200" s="91" t="n"/>
      <c r="K200" s="91" t="n"/>
      <c r="L200" s="90" t="n"/>
    </row>
    <row r="201" customFormat="1" s="43">
      <c r="J201" s="91" t="n"/>
      <c r="K201" s="91" t="n"/>
      <c r="L201" s="90" t="n"/>
    </row>
    <row r="202" customFormat="1" s="43">
      <c r="J202" s="91" t="n"/>
      <c r="K202" s="91" t="n"/>
      <c r="L202" s="90" t="n"/>
    </row>
    <row r="203" customFormat="1" s="43">
      <c r="J203" s="91" t="n"/>
      <c r="K203" s="91" t="n"/>
      <c r="L203" s="90" t="n"/>
    </row>
    <row r="204" customFormat="1" s="43">
      <c r="J204" s="91" t="n"/>
      <c r="K204" s="91" t="n"/>
      <c r="L204" s="90" t="n"/>
    </row>
  </sheetData>
  <mergeCells count="2">
    <mergeCell ref="A2:AC2"/>
    <mergeCell ref="A1:AC1"/>
  </mergeCells>
  <conditionalFormatting sqref="A57:K76 N57:AC76">
    <cfRule type="expression" priority="4" dxfId="26">
      <formula>MOD(ROW(),2)=0</formula>
    </cfRule>
  </conditionalFormatting>
  <conditionalFormatting sqref="A4:A56 A77:K81 A82:A101 A102:K141 B4:K21 B22:C22 B23:K32 B34:G34 B35:H36 B37:K56 D33:G33 E22:K22 J33:K36 N4:AC32 N33:O33 N34:P35 N36:U36 N37:AB39 N40:AC56 N77:AC81 N102:AC141 R33:R35 T33:AC34 T35:AB35 W36:AC36">
    <cfRule type="expression" priority="21" dxfId="14">
      <formula>MOD(ROW(),2)=0</formula>
    </cfRule>
  </conditionalFormatting>
  <conditionalFormatting sqref="L1:L1048576">
    <cfRule type="colorScale" priority="18">
      <colorScale>
        <cfvo type="min"/>
        <cfvo type="percentile" val="50"/>
        <cfvo type="max"/>
        <color rgb="FF00B050"/>
        <color rgb="FFFFFF00"/>
        <color rgb="FFC00000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39">
    <cfRule type="top10" rank="10" priority="32" dxfId="24"/>
  </conditionalFormatting>
  <conditionalFormatting sqref="M4:M45">
    <cfRule type="containsText" priority="15" operator="containsText" dxfId="20" text="Rejected">
      <formula>NOT(ISERROR(SEARCH("Rejected",M4)))</formula>
    </cfRule>
    <cfRule type="containsText" priority="16" operator="containsText" dxfId="16" text="APS Received">
      <formula>NOT(ISERROR(SEARCH("APS Received",M4)))</formula>
    </cfRule>
    <cfRule type="containsText" priority="17" operator="containsText" dxfId="18" text="pending">
      <formula>NOT(ISERROR(SEARCH("pending",M4)))</formula>
    </cfRule>
  </conditionalFormatting>
  <conditionalFormatting sqref="M47:M101">
    <cfRule type="containsText" priority="5" operator="containsText" dxfId="20" text="Rejected">
      <formula>NOT(ISERROR(SEARCH("Rejected",M47)))</formula>
    </cfRule>
    <cfRule type="containsText" priority="6" operator="containsText" dxfId="16" text="APS Received">
      <formula>NOT(ISERROR(SEARCH("APS Received",M47)))</formula>
    </cfRule>
    <cfRule type="containsText" priority="7" operator="containsText" dxfId="18" text="pending">
      <formula>NOT(ISERROR(SEARCH("pending",M47)))</formula>
    </cfRule>
  </conditionalFormatting>
  <conditionalFormatting sqref="AC38">
    <cfRule type="expression" priority="1" dxfId="14">
      <formula>MOD(ROW(),2)=0</formula>
    </cfRule>
  </conditionalFormatting>
  <dataValidations count="1">
    <dataValidation sqref="M4:M101" showDropDown="0" showInputMessage="0" showErrorMessage="0" allowBlank="1" type="list">
      <formula1>"Pending,Under Review,APS Received,Rejected,On Hold"</formula1>
      <formula2>0</formula2>
    </dataValidation>
  </dataValidations>
  <hyperlinks>
    <hyperlink xmlns:r="http://schemas.openxmlformats.org/officeDocument/2006/relationships" ref="D12" r:id="rId1"/>
    <hyperlink xmlns:r="http://schemas.openxmlformats.org/officeDocument/2006/relationships" ref="V22" r:id="rId2"/>
    <hyperlink xmlns:r="http://schemas.openxmlformats.org/officeDocument/2006/relationships" ref="D23" r:id="rId3"/>
    <hyperlink xmlns:r="http://schemas.openxmlformats.org/officeDocument/2006/relationships" ref="V23" r:id="rId4"/>
    <hyperlink xmlns:r="http://schemas.openxmlformats.org/officeDocument/2006/relationships" ref="D24" r:id="rId5"/>
    <hyperlink xmlns:r="http://schemas.openxmlformats.org/officeDocument/2006/relationships" ref="V24" r:id="rId6"/>
    <hyperlink xmlns:r="http://schemas.openxmlformats.org/officeDocument/2006/relationships" ref="D25" r:id="rId7"/>
    <hyperlink xmlns:r="http://schemas.openxmlformats.org/officeDocument/2006/relationships" ref="D35" r:id="rId8"/>
    <hyperlink xmlns:r="http://schemas.openxmlformats.org/officeDocument/2006/relationships" ref="V35" r:id="rId9"/>
    <hyperlink xmlns:r="http://schemas.openxmlformats.org/officeDocument/2006/relationships" ref="D36" r:id="rId10"/>
    <hyperlink xmlns:r="http://schemas.openxmlformats.org/officeDocument/2006/relationships" ref="V36" r:id="rId11"/>
    <hyperlink xmlns:r="http://schemas.openxmlformats.org/officeDocument/2006/relationships" ref="D59" r:id="rId12"/>
    <hyperlink xmlns:r="http://schemas.openxmlformats.org/officeDocument/2006/relationships" ref="D61" r:id="rId13"/>
    <hyperlink xmlns:r="http://schemas.openxmlformats.org/officeDocument/2006/relationships" ref="D63" r:id="rId14"/>
    <hyperlink xmlns:r="http://schemas.openxmlformats.org/officeDocument/2006/relationships" ref="D64" r:id="rId15"/>
    <hyperlink xmlns:r="http://schemas.openxmlformats.org/officeDocument/2006/relationships" ref="D76" r:id="rId16"/>
    <hyperlink xmlns:r="http://schemas.openxmlformats.org/officeDocument/2006/relationships" ref="D77" r:id="rId17"/>
    <hyperlink xmlns:r="http://schemas.openxmlformats.org/officeDocument/2006/relationships" ref="V77" r:id="rId18"/>
  </hyperlink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zoomScale="73" zoomScaleNormal="100" workbookViewId="0">
      <selection activeCell="A5" sqref="A5:B6"/>
    </sheetView>
  </sheetViews>
  <sheetFormatPr baseColWidth="8" defaultColWidth="8.54296875" defaultRowHeight="14.5"/>
  <cols>
    <col width="24" customWidth="1" style="18" min="1" max="3"/>
    <col width="14" customWidth="1" style="18" min="4" max="10"/>
  </cols>
  <sheetData>
    <row r="1" ht="42" customHeight="1" s="18">
      <c r="A1" s="31" t="inlineStr">
        <is>
          <t>APS TRACKER — SUMMARY DASHBOARD</t>
        </is>
      </c>
    </row>
    <row r="2" ht="7.5" customHeight="1" s="18">
      <c r="A2" s="26" t="n"/>
    </row>
    <row r="3" ht="24" customHeight="1" s="18">
      <c r="A3" s="28" t="inlineStr">
        <is>
          <t>Total Applications</t>
        </is>
      </c>
      <c r="B3" s="23" t="n"/>
      <c r="C3" s="27" t="inlineStr">
        <is>
          <t>Pending</t>
        </is>
      </c>
      <c r="D3" s="23" t="n"/>
      <c r="E3" s="30" t="inlineStr">
        <is>
          <t>APS Received</t>
        </is>
      </c>
      <c r="F3" s="23" t="n"/>
      <c r="G3" s="29" t="inlineStr">
        <is>
          <t>High Chances</t>
        </is>
      </c>
      <c r="H3" s="23" t="n"/>
      <c r="I3" s="32" t="inlineStr">
        <is>
          <t>Avg Days (filled)</t>
        </is>
      </c>
      <c r="J3" s="23" t="n"/>
    </row>
    <row r="4" ht="24" customHeight="1" s="18">
      <c r="A4" s="24" t="n"/>
      <c r="B4" s="25" t="n"/>
      <c r="C4" s="24" t="n"/>
      <c r="D4" s="25" t="n"/>
      <c r="E4" s="24" t="n"/>
      <c r="F4" s="25" t="n"/>
      <c r="G4" s="24" t="n"/>
      <c r="H4" s="25" t="n"/>
      <c r="I4" s="24" t="n"/>
      <c r="J4" s="25" t="n"/>
    </row>
    <row r="5" ht="36" customHeight="1" s="18">
      <c r="A5" s="34">
        <f>COUNTA('📋 Tracker'!C4:C299)</f>
        <v/>
      </c>
      <c r="B5" s="23" t="n"/>
      <c r="C5" s="33">
        <f>COUNTIF('📋 Tracker'!M4:M299,"Pending")</f>
        <v/>
      </c>
      <c r="D5" s="23" t="n"/>
      <c r="E5" s="36">
        <f>COUNTIF('📋 Tracker'!M4:M299,"APS Received")</f>
        <v/>
      </c>
      <c r="F5" s="23" t="n"/>
      <c r="G5" s="35">
        <f>COUNTIF('📋 Tracker'!#REF!,"🟢 HIGH")</f>
        <v/>
      </c>
      <c r="H5" s="23" t="n"/>
      <c r="I5" s="22">
        <f>AVERAGEIFS('📋 Tracker'!L4:L81, '📋 Tracker'!M4:M81, "APS Received")</f>
        <v/>
      </c>
      <c r="J5" s="23" t="n"/>
    </row>
    <row r="6" ht="36" customHeight="1" s="18">
      <c r="A6" s="24" t="n"/>
      <c r="B6" s="25" t="n"/>
      <c r="C6" s="24" t="n"/>
      <c r="D6" s="25" t="n"/>
      <c r="E6" s="24" t="n"/>
      <c r="F6" s="25" t="n"/>
      <c r="G6" s="24" t="n"/>
      <c r="H6" s="25" t="n"/>
      <c r="I6" s="24" t="n"/>
      <c r="J6" s="25" t="n"/>
    </row>
    <row r="7">
      <c r="I7" s="8" t="n"/>
    </row>
    <row r="8" ht="7.5" customHeight="1" s="18"/>
    <row r="9" ht="24" customHeight="1" s="18">
      <c r="A9" s="27" t="inlineStr">
        <is>
          <t>Category</t>
        </is>
      </c>
      <c r="B9" s="27">
        <f>COUNTA('📋 Tracker'!C4:C21)</f>
        <v/>
      </c>
      <c r="C9" s="27" t="inlineStr">
        <is>
          <t>% of Total</t>
        </is>
      </c>
    </row>
    <row r="10" ht="21.75" customHeight="1" s="18">
      <c r="A10" s="2" t="inlineStr">
        <is>
          <t>🟢 High Chances</t>
        </is>
      </c>
      <c r="B10" s="2">
        <f>COUNTIF('📋 Tracker'!#REF!,"🟢 HIGH")</f>
        <v/>
      </c>
      <c r="C10" s="4">
        <f>B10/B9*100</f>
        <v/>
      </c>
    </row>
    <row r="11" ht="21.75" customHeight="1" s="18">
      <c r="A11" s="3" t="inlineStr">
        <is>
          <t>🟡 Moderate Chances</t>
        </is>
      </c>
      <c r="B11" s="3">
        <f>COUNTIF('📋 Tracker'!#REF!,"🟡 MODERATE")</f>
        <v/>
      </c>
      <c r="C11" s="5">
        <f>B11/B9*100</f>
        <v/>
      </c>
    </row>
    <row r="12" ht="21.75" customHeight="1" s="18">
      <c r="A12" s="2" t="inlineStr">
        <is>
          <t>🔴 Low Chances</t>
        </is>
      </c>
      <c r="B12" s="2">
        <f>COUNTIF('📋 Tracker'!#REF!,"🔴 LOW")</f>
        <v/>
      </c>
      <c r="C12" s="4">
        <f>B12/B9*100</f>
        <v/>
      </c>
    </row>
    <row r="13" ht="21.75" customHeight="1" s="18">
      <c r="A13" s="3" t="inlineStr">
        <is>
          <t>⚪ Needs Review</t>
        </is>
      </c>
      <c r="B13" s="3">
        <f>COUNTIF('📋 Tracker'!#REF!,"⚪ NEEDS REVIEW")</f>
        <v/>
      </c>
      <c r="C13" s="5">
        <f>B13/B9*100</f>
        <v/>
      </c>
    </row>
    <row r="14" ht="7.5" customHeight="1" s="18"/>
    <row r="15" ht="21.75" customHeight="1" s="18">
      <c r="A15" s="6" t="inlineStr">
        <is>
          <t>Earliest Application</t>
        </is>
      </c>
      <c r="B15" s="3" t="inlineStr">
        <is>
          <t xml:space="preserve">Earliest </t>
        </is>
      </c>
    </row>
    <row r="16" ht="21.75" customHeight="1" s="18">
      <c r="A16" s="6" t="inlineStr">
        <is>
          <t>Latest Application</t>
        </is>
      </c>
      <c r="B16" s="3" t="inlineStr">
        <is>
          <t xml:space="preserve">Latest </t>
        </is>
      </c>
    </row>
    <row r="18" ht="7.5" customHeight="1" s="18"/>
    <row r="19" ht="49.5" customHeight="1" s="18">
      <c r="A19" s="19" t="inlineStr">
        <is>
          <t>📌  HOW TO USE:  1) Update APS Received Date (col J) in Tracker when APS arrives    2) Days Elapsed auto-calculates    3) Change Status dropdown (col L) to reflect current state    4) Fill Applied University (col AC) &amp; APS Score (col AD) once known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1" t="n"/>
    </row>
  </sheetData>
  <mergeCells count="13">
    <mergeCell ref="E3:F4"/>
    <mergeCell ref="A1:J1"/>
    <mergeCell ref="I3:J4"/>
    <mergeCell ref="C5:D6"/>
    <mergeCell ref="A5:B6"/>
    <mergeCell ref="G5:H6"/>
    <mergeCell ref="E5:F6"/>
    <mergeCell ref="A19:J19"/>
    <mergeCell ref="I5:J6"/>
    <mergeCell ref="A2:J2"/>
    <mergeCell ref="C3:D4"/>
    <mergeCell ref="A3:B4"/>
    <mergeCell ref="G3:H4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topLeftCell="A87" zoomScale="98" zoomScaleNormal="100" workbookViewId="0">
      <selection activeCell="E33" sqref="E33"/>
    </sheetView>
  </sheetViews>
  <sheetFormatPr baseColWidth="8" defaultColWidth="8.54296875" defaultRowHeight="14.5"/>
  <cols>
    <col width="5" customWidth="1" style="18" min="1" max="1"/>
    <col width="24" customWidth="1" style="18" min="2" max="2"/>
    <col width="30" customWidth="1" style="18" min="3" max="3"/>
    <col width="20" customWidth="1" style="18" min="4" max="4"/>
    <col width="32" customWidth="1" style="18" min="5" max="5"/>
    <col width="13" customWidth="1" style="18" min="6" max="6"/>
  </cols>
  <sheetData>
    <row r="1" ht="33.75" customHeight="1" s="18">
      <c r="A1" s="17" t="inlineStr">
        <is>
          <t>PROFESSOR &amp; INSTITUTION CONTACT DIRECTORY</t>
        </is>
      </c>
    </row>
    <row r="2" ht="19.5" customHeight="1" s="18">
      <c r="A2" s="9" t="n">
        <v>0</v>
      </c>
      <c r="B2" s="10" t="n">
        <v>0</v>
      </c>
      <c r="C2" s="10" t="n">
        <v>0</v>
      </c>
      <c r="D2" s="10" t="n">
        <v>0</v>
      </c>
      <c r="E2" s="10" t="n">
        <v>0</v>
      </c>
      <c r="F2" s="11" t="n"/>
    </row>
    <row r="3" ht="40.5" customHeight="1" s="18">
      <c r="A3" s="11" t="n">
        <v>0</v>
      </c>
      <c r="B3" s="12" t="inlineStr">
        <is>
          <t>FULL NAME</t>
        </is>
      </c>
      <c r="C3" s="12" t="inlineStr">
        <is>
          <t>BACHELOR
COLLEGE</t>
        </is>
      </c>
      <c r="D3" s="12" t="inlineStr">
        <is>
          <t>BACHELOR
COURSE</t>
        </is>
      </c>
      <c r="E3" s="12" t="inlineStr">
        <is>
          <t>PROFESSOR
EMAIL</t>
        </is>
      </c>
      <c r="F3" s="13" t="inlineStr">
        <is>
          <t>CONTACTED</t>
        </is>
      </c>
    </row>
    <row r="4" ht="19.5" customHeight="1" s="18">
      <c r="A4" s="14" t="n">
        <v>1</v>
      </c>
      <c r="B4" s="15" t="inlineStr">
        <is>
          <t>Abhishek Chaurasia</t>
        </is>
      </c>
      <c r="C4" s="15" t="inlineStr">
        <is>
          <t>Reena Mehta College</t>
        </is>
      </c>
      <c r="D4" s="15" t="inlineStr">
        <is>
          <t>B.Com</t>
        </is>
      </c>
      <c r="E4" s="15" t="inlineStr">
        <is>
          <t>enquiry@rmc.edu.in</t>
        </is>
      </c>
      <c r="F4" s="7" t="inlineStr">
        <is>
          <t>No</t>
        </is>
      </c>
    </row>
    <row r="5" ht="19.5" customHeight="1" s="18">
      <c r="A5" s="14" t="n">
        <v>2</v>
      </c>
      <c r="B5" s="15" t="inlineStr">
        <is>
          <t>Anjum Biradar</t>
        </is>
      </c>
      <c r="C5" s="15" t="inlineStr">
        <is>
          <t>R.V Dental College</t>
        </is>
      </c>
      <c r="D5" s="15" t="inlineStr">
        <is>
          <t>BDS</t>
        </is>
      </c>
      <c r="E5" s="15" t="inlineStr">
        <is>
          <t>examination@rguhs.ac.in</t>
        </is>
      </c>
      <c r="F5" s="7" t="inlineStr">
        <is>
          <t>No</t>
        </is>
      </c>
    </row>
    <row r="6" ht="19.5" customHeight="1" s="18">
      <c r="A6" s="14" t="n">
        <v>3</v>
      </c>
      <c r="B6" s="15" t="inlineStr">
        <is>
          <t>Atul Tayade</t>
        </is>
      </c>
      <c r="C6" s="15" t="inlineStr">
        <is>
          <t>VIIT</t>
        </is>
      </c>
      <c r="D6" s="15" t="inlineStr">
        <is>
          <t>ś</t>
        </is>
      </c>
      <c r="E6" s="15" t="inlineStr">
        <is>
          <t>manohar.kodmelwar@viit.ac.in</t>
        </is>
      </c>
      <c r="F6" s="7" t="inlineStr">
        <is>
          <t>No</t>
        </is>
      </c>
    </row>
    <row r="7" ht="19.5" customHeight="1" s="18">
      <c r="A7" s="14" t="n">
        <v>4</v>
      </c>
      <c r="B7" s="15" t="inlineStr">
        <is>
          <t>Digambar Pawar</t>
        </is>
      </c>
      <c r="C7" s="15" t="inlineStr">
        <is>
          <t>Dept of Technology Shivaji University</t>
        </is>
      </c>
      <c r="D7" s="15" t="inlineStr">
        <is>
          <t>B.Tech</t>
        </is>
      </c>
      <c r="E7" s="15" t="inlineStr">
        <is>
          <t>cja_tech@unishivaji.ac.in</t>
        </is>
      </c>
      <c r="F7" s="7" t="inlineStr">
        <is>
          <t>No</t>
        </is>
      </c>
    </row>
    <row r="8" ht="19.5" customHeight="1" s="18">
      <c r="A8" s="14" t="n">
        <v>5</v>
      </c>
      <c r="B8" s="15" t="inlineStr">
        <is>
          <t>Faiq Faiq</t>
        </is>
      </c>
      <c r="C8" s="15" t="inlineStr">
        <is>
          <t>BUEST</t>
        </is>
      </c>
      <c r="D8" s="15" t="inlineStr">
        <is>
          <t>B.Tech</t>
        </is>
      </c>
      <c r="E8" s="15" t="inlineStr">
        <is>
          <t>registrar@baddiuniv.ac.in</t>
        </is>
      </c>
      <c r="F8" s="7" t="inlineStr">
        <is>
          <t>No</t>
        </is>
      </c>
    </row>
    <row r="9" ht="19.5" customHeight="1" s="18">
      <c r="A9" s="14" t="n">
        <v>6</v>
      </c>
      <c r="B9" s="15" t="inlineStr">
        <is>
          <t>Gaurav</t>
        </is>
      </c>
      <c r="C9" s="15" t="inlineStr">
        <is>
          <t>YMCA University</t>
        </is>
      </c>
      <c r="D9" s="15" t="inlineStr">
        <is>
          <t>B.Tech</t>
        </is>
      </c>
      <c r="E9" s="15" t="inlineStr">
        <is>
          <t>result001@jcboseust.ac.in</t>
        </is>
      </c>
      <c r="F9" s="7" t="inlineStr">
        <is>
          <t>No</t>
        </is>
      </c>
    </row>
    <row r="10" ht="19.5" customHeight="1" s="18">
      <c r="A10" s="14" t="n">
        <v>7</v>
      </c>
      <c r="B10" s="15" t="inlineStr">
        <is>
          <t>Hemanth Urs H R</t>
        </is>
      </c>
      <c r="C10" s="15" t="inlineStr">
        <is>
          <t>Malnad College of Engineering</t>
        </is>
      </c>
      <c r="D10" s="15" t="inlineStr">
        <is>
          <t>BE</t>
        </is>
      </c>
      <c r="E10" s="15" t="n">
        <v>0</v>
      </c>
      <c r="F10" s="7" t="inlineStr">
        <is>
          <t>No</t>
        </is>
      </c>
    </row>
    <row r="11" ht="19.5" customHeight="1" s="18">
      <c r="A11" s="14" t="n">
        <v>8</v>
      </c>
      <c r="B11" s="15" t="inlineStr">
        <is>
          <t>Huynh Thao Muoi</t>
        </is>
      </c>
      <c r="C11" s="15" t="inlineStr">
        <is>
          <t>University of Information Technology – VNUHCM</t>
        </is>
      </c>
      <c r="D11" s="15" t="inlineStr">
        <is>
          <t>BSc</t>
        </is>
      </c>
      <c r="E11" s="15" t="n">
        <v>0</v>
      </c>
      <c r="F11" s="7" t="inlineStr">
        <is>
          <t>No</t>
        </is>
      </c>
    </row>
    <row r="12" ht="19.5" customHeight="1" s="18">
      <c r="A12" s="14" t="n">
        <v>9</v>
      </c>
      <c r="B12" s="15" t="inlineStr">
        <is>
          <t>Lakshana Ragunathan</t>
        </is>
      </c>
      <c r="C12" s="15" t="inlineStr">
        <is>
          <t>Muthayammal Engineering College</t>
        </is>
      </c>
      <c r="D12" s="15" t="inlineStr">
        <is>
          <t>BE</t>
        </is>
      </c>
      <c r="E12" s="15" t="inlineStr">
        <is>
          <t>hod.cse@mec.edu.in</t>
        </is>
      </c>
      <c r="F12" s="7" t="inlineStr">
        <is>
          <t>No</t>
        </is>
      </c>
    </row>
    <row r="13" ht="19.5" customHeight="1" s="18">
      <c r="A13" s="14" t="n">
        <v>10</v>
      </c>
      <c r="B13" s="15" t="inlineStr">
        <is>
          <t>Nagabhushan C R</t>
        </is>
      </c>
      <c r="C13" s="15" t="inlineStr">
        <is>
          <t>RNS Institute of Technology</t>
        </is>
      </c>
      <c r="D13" s="15" t="inlineStr">
        <is>
          <t>BE</t>
        </is>
      </c>
      <c r="E13" s="15" t="inlineStr">
        <is>
          <t>hod.civil@rnsit.ac.in</t>
        </is>
      </c>
      <c r="F13" s="7" t="inlineStr">
        <is>
          <t>No</t>
        </is>
      </c>
    </row>
    <row r="14" ht="19.5" customHeight="1" s="18">
      <c r="A14" s="14" t="n">
        <v>11</v>
      </c>
      <c r="B14" s="15" t="inlineStr">
        <is>
          <t>Neha Abhyankar</t>
        </is>
      </c>
      <c r="C14" s="15" t="inlineStr">
        <is>
          <t>IIFTR</t>
        </is>
      </c>
      <c r="D14" s="15" t="inlineStr">
        <is>
          <t>Bachelor in Foreign Trade</t>
        </is>
      </c>
      <c r="E14" s="15" t="inlineStr">
        <is>
          <t>registrar.davv@dauniv.ac.in</t>
        </is>
      </c>
      <c r="F14" s="7" t="inlineStr">
        <is>
          <t>No</t>
        </is>
      </c>
    </row>
    <row r="15" ht="19.5" customHeight="1" s="18">
      <c r="A15" s="14" t="n">
        <v>12</v>
      </c>
      <c r="B15" s="15" t="inlineStr">
        <is>
          <t>Nishant Prajapati</t>
        </is>
      </c>
      <c r="C15" s="15" t="inlineStr">
        <is>
          <t>H.N.S.B Bank Ltd. Science College</t>
        </is>
      </c>
      <c r="D15" s="15" t="inlineStr">
        <is>
          <t>BSc Chemistry</t>
        </is>
      </c>
      <c r="E15" s="15" t="inlineStr">
        <is>
          <t>regi@ngu.ac.in</t>
        </is>
      </c>
      <c r="F15" s="7" t="inlineStr">
        <is>
          <t>No</t>
        </is>
      </c>
    </row>
    <row r="16" ht="19.5" customHeight="1" s="18">
      <c r="A16" s="14" t="n">
        <v>13</v>
      </c>
      <c r="B16" s="15" t="inlineStr">
        <is>
          <t>Prethiviraj B</t>
        </is>
      </c>
      <c r="C16" s="15" t="inlineStr">
        <is>
          <t>Presidency University</t>
        </is>
      </c>
      <c r="D16" s="15" t="inlineStr">
        <is>
          <t>B.Tech Mechatronics</t>
        </is>
      </c>
      <c r="E16" s="15" t="n">
        <v>0</v>
      </c>
      <c r="F16" s="7" t="inlineStr">
        <is>
          <t>No</t>
        </is>
      </c>
    </row>
    <row r="17" ht="26" customHeight="1" s="18">
      <c r="A17" s="14" t="n">
        <v>14</v>
      </c>
      <c r="B17" s="15" t="inlineStr">
        <is>
          <t>Reacha Kain</t>
        </is>
      </c>
      <c r="C17" s="15" t="inlineStr">
        <is>
          <t>Geethanjali College of Engg &amp; Tech</t>
        </is>
      </c>
      <c r="D17" s="15" t="inlineStr">
        <is>
          <t>B.Tech CS (Cyber Security)</t>
        </is>
      </c>
      <c r="E17" s="15" t="inlineStr">
        <is>
          <t>cshead@gcet.edu.in</t>
        </is>
      </c>
      <c r="F17" s="7" t="inlineStr">
        <is>
          <t>No</t>
        </is>
      </c>
    </row>
    <row r="18" ht="26" customHeight="1" s="18">
      <c r="A18" s="14" t="n">
        <v>15</v>
      </c>
      <c r="B18" s="15" t="inlineStr">
        <is>
          <t>Rohit Masti</t>
        </is>
      </c>
      <c r="C18" s="15" t="inlineStr">
        <is>
          <t>D.Y. Patil College of Engg, Kolhapur</t>
        </is>
      </c>
      <c r="D18" s="15" t="inlineStr">
        <is>
          <t>B.Tech CS (AI-ML)</t>
        </is>
      </c>
      <c r="E18" s="15" t="inlineStr">
        <is>
          <t>siddheshwarvpatil.dypcet@dypgroup.edu.in</t>
        </is>
      </c>
      <c r="F18" s="7" t="inlineStr">
        <is>
          <t>No</t>
        </is>
      </c>
    </row>
    <row r="19" ht="26" customHeight="1" s="18">
      <c r="A19" s="14" t="n">
        <v>16</v>
      </c>
      <c r="B19" s="15" t="inlineStr">
        <is>
          <t>Sachin D. Shingade</t>
        </is>
      </c>
      <c r="C19" s="15" t="inlineStr">
        <is>
          <t>Late N.B. Chhabada Inst of Engg</t>
        </is>
      </c>
      <c r="D19" s="15" t="inlineStr">
        <is>
          <t>BE Electronics &amp; Telecom</t>
        </is>
      </c>
      <c r="E19" s="15" t="inlineStr">
        <is>
          <t>sfc@unishivaji.ac.in</t>
        </is>
      </c>
      <c r="F19" s="7" t="inlineStr">
        <is>
          <t>No</t>
        </is>
      </c>
    </row>
    <row r="20">
      <c r="A20" s="14" t="n">
        <v>17</v>
      </c>
      <c r="B20" s="15" t="inlineStr">
        <is>
          <t>Sheikh Nazir Hussain</t>
        </is>
      </c>
      <c r="C20" s="15" t="inlineStr">
        <is>
          <t>R R Institute of Technology</t>
        </is>
      </c>
      <c r="D20" s="15" t="inlineStr">
        <is>
          <t>BE Mechanical</t>
        </is>
      </c>
      <c r="E20" s="15" t="inlineStr">
        <is>
          <t>contact@rrinstitutions.in</t>
        </is>
      </c>
      <c r="F20" s="7" t="inlineStr">
        <is>
          <t>No</t>
        </is>
      </c>
    </row>
    <row r="21" ht="26" customHeight="1" s="18">
      <c r="A21" s="14" t="n">
        <v>18</v>
      </c>
      <c r="B21" s="15" t="inlineStr">
        <is>
          <t>Sneha Jogi</t>
        </is>
      </c>
      <c r="C21" s="15" t="inlineStr">
        <is>
          <t>M.P. Shah Municipal Commerce College</t>
        </is>
      </c>
      <c r="D21" s="15" t="inlineStr">
        <is>
          <t>BCom</t>
        </is>
      </c>
      <c r="E21" s="15" t="inlineStr">
        <is>
          <t>info@mpsccjam.org</t>
        </is>
      </c>
      <c r="F21" s="7" t="inlineStr">
        <is>
          <t>No</t>
        </is>
      </c>
    </row>
    <row r="22" ht="26" customHeight="1" s="18">
      <c r="A22" s="14" t="n">
        <v>19</v>
      </c>
      <c r="B22" s="15" t="inlineStr">
        <is>
          <t>Sujay Laxman H M</t>
        </is>
      </c>
      <c r="C22" s="15" t="inlineStr">
        <is>
          <t>School of Mechanical, Reva University</t>
        </is>
      </c>
      <c r="D22" s="15" t="inlineStr">
        <is>
          <t>B.Tech Mechanical</t>
        </is>
      </c>
      <c r="E22" s="15" t="inlineStr">
        <is>
          <t>balajis@reva.edu.in</t>
        </is>
      </c>
      <c r="F22" s="7" t="inlineStr">
        <is>
          <t>No</t>
        </is>
      </c>
    </row>
    <row r="23">
      <c r="A23" s="14" t="n">
        <v>20</v>
      </c>
      <c r="B23" s="15" t="inlineStr">
        <is>
          <t>venuvardhan</t>
        </is>
      </c>
      <c r="C23" s="15" t="inlineStr">
        <is>
          <t>Mewar University</t>
        </is>
      </c>
      <c r="D23" s="15" t="inlineStr">
        <is>
          <t>Diploma</t>
        </is>
      </c>
      <c r="E23" s="15" t="inlineStr">
        <is>
          <t>amit_kumar@mewaruniversity.co.in</t>
        </is>
      </c>
      <c r="F23" s="7" t="inlineStr">
        <is>
          <t>No</t>
        </is>
      </c>
    </row>
    <row r="24" ht="26" customHeight="1" s="18">
      <c r="A24" s="14" t="n">
        <v>21</v>
      </c>
      <c r="B24" s="15" t="inlineStr">
        <is>
          <t>vaishnavi netke</t>
        </is>
      </c>
      <c r="C24" s="15" t="inlineStr">
        <is>
          <t>Garware institute of career education and development</t>
        </is>
      </c>
      <c r="D24" s="15" t="inlineStr">
        <is>
          <t>Business Management Studies</t>
        </is>
      </c>
      <c r="E24" s="15" t="inlineStr">
        <is>
          <t>suhas.worlikar@finxpert.org</t>
        </is>
      </c>
      <c r="F24" s="7" t="inlineStr">
        <is>
          <t>No</t>
        </is>
      </c>
    </row>
    <row r="25">
      <c r="A25" s="14" t="n">
        <v>22</v>
      </c>
      <c r="B25" s="15" t="inlineStr">
        <is>
          <t>Ajay Kumar</t>
        </is>
      </c>
      <c r="C25" s="15" t="inlineStr">
        <is>
          <t>RKSD College</t>
        </is>
      </c>
      <c r="D25" s="15" t="inlineStr">
        <is>
          <t>BBA</t>
        </is>
      </c>
      <c r="E25" s="15" t="inlineStr">
        <is>
          <t>principal@rksdcollege.ac.in</t>
        </is>
      </c>
      <c r="F25" s="7" t="inlineStr">
        <is>
          <t>No</t>
        </is>
      </c>
    </row>
    <row r="26">
      <c r="A26" s="14" t="n">
        <v>23</v>
      </c>
      <c r="B26" s="15" t="inlineStr">
        <is>
          <t>Sahana Balaram</t>
        </is>
      </c>
      <c r="C26" s="15" t="inlineStr">
        <is>
          <t>KLSE Societys Degree College</t>
        </is>
      </c>
      <c r="D26" s="15" t="inlineStr">
        <is>
          <t>B.Com</t>
        </is>
      </c>
      <c r="E26" s="15" t="inlineStr">
        <is>
          <t>madhan17anitha@gmail.com</t>
        </is>
      </c>
      <c r="F26" s="7" t="inlineStr">
        <is>
          <t>No</t>
        </is>
      </c>
    </row>
    <row r="27" ht="26" customHeight="1" s="18">
      <c r="A27" s="14" t="n">
        <v>24</v>
      </c>
      <c r="B27" s="15" t="inlineStr">
        <is>
          <t>Kriti Pallavi</t>
        </is>
      </c>
      <c r="C27" s="15" t="inlineStr">
        <is>
          <t xml:space="preserve"> ITS Centre for Dental Studies and Research</t>
        </is>
      </c>
      <c r="D27" s="15" t="inlineStr">
        <is>
          <t>BDS</t>
        </is>
      </c>
      <c r="E27" s="15" t="inlineStr">
        <is>
          <t>drsaurabhjuneja@gmail.com</t>
        </is>
      </c>
      <c r="F27" s="7" t="inlineStr">
        <is>
          <t>No</t>
        </is>
      </c>
    </row>
    <row r="28" ht="26" customHeight="1" s="18">
      <c r="A28" s="14" t="n">
        <v>25</v>
      </c>
      <c r="B28" s="15" t="inlineStr">
        <is>
          <t>Sakina Panvelwala</t>
        </is>
      </c>
      <c r="C28" s="15" t="inlineStr">
        <is>
          <t>SIES College of Arts, Science and Commerc</t>
        </is>
      </c>
      <c r="D28" s="15" t="inlineStr">
        <is>
          <t>B.Com</t>
        </is>
      </c>
      <c r="E28" s="15" t="inlineStr">
        <is>
          <t>bhumikam@sies.edu.in</t>
        </is>
      </c>
      <c r="F28" s="7" t="inlineStr">
        <is>
          <t>No</t>
        </is>
      </c>
    </row>
    <row r="29">
      <c r="A29" s="14" t="n">
        <v>26</v>
      </c>
      <c r="B29" s="15" t="inlineStr">
        <is>
          <t>Neeraj Singh</t>
        </is>
      </c>
      <c r="C29" s="15" t="inlineStr">
        <is>
          <t>Atma Ram Sanatan Dharma College</t>
        </is>
      </c>
      <c r="D29" s="15" t="inlineStr">
        <is>
          <t>B.com</t>
        </is>
      </c>
      <c r="E29" s="15" t="inlineStr">
        <is>
          <t>knegi@arsd.du.ac.in</t>
        </is>
      </c>
      <c r="F29" s="7" t="inlineStr">
        <is>
          <t>No</t>
        </is>
      </c>
    </row>
    <row r="30">
      <c r="A30" s="14" t="n">
        <v>27</v>
      </c>
      <c r="B30" s="15" t="inlineStr">
        <is>
          <t>Amatul Haseeb Maseera</t>
        </is>
      </c>
      <c r="C30" s="15" t="inlineStr">
        <is>
          <t>MRM College of Pharmecy</t>
        </is>
      </c>
      <c r="D30" s="15" t="inlineStr">
        <is>
          <t>Bachelors of Pharmecy</t>
        </is>
      </c>
      <c r="E30" s="15" t="n">
        <v>0</v>
      </c>
      <c r="F30" s="7" t="inlineStr">
        <is>
          <t>No</t>
        </is>
      </c>
      <c r="L30" s="37" t="n"/>
      <c r="M30" s="38" t="n"/>
    </row>
    <row r="31" ht="26" customHeight="1" s="18">
      <c r="A31" s="14" t="n">
        <v>28</v>
      </c>
      <c r="B31" s="15" t="inlineStr">
        <is>
          <t>Adithya Vincent Sindhu</t>
        </is>
      </c>
      <c r="C31" s="15" t="inlineStr">
        <is>
          <t>ISDC</t>
        </is>
      </c>
      <c r="D31" s="15" t="inlineStr">
        <is>
          <t>Bachelor’s of vocational studies</t>
        </is>
      </c>
      <c r="E31" s="15" t="inlineStr">
        <is>
          <t>enquiry@jainskills.com</t>
        </is>
      </c>
      <c r="F31" s="7" t="inlineStr">
        <is>
          <t>No</t>
        </is>
      </c>
    </row>
    <row r="32" ht="26" customHeight="1" s="18">
      <c r="A32" s="14" t="n">
        <v>29</v>
      </c>
      <c r="B32" s="15" t="inlineStr">
        <is>
          <t>Atharva Kumbhar</t>
        </is>
      </c>
      <c r="C32" s="15" t="inlineStr">
        <is>
          <t>Ramsheth Thakur College of Science and Commerce</t>
        </is>
      </c>
      <c r="D32" s="15" t="inlineStr">
        <is>
          <t>Bachelors in Management Studies</t>
        </is>
      </c>
      <c r="E32" s="15" t="n">
        <v>0</v>
      </c>
      <c r="F32" s="7" t="inlineStr">
        <is>
          <t>No</t>
        </is>
      </c>
    </row>
    <row r="33" ht="39" customHeight="1" s="18">
      <c r="A33" s="14" t="n">
        <v>30</v>
      </c>
      <c r="B33" s="15" t="inlineStr">
        <is>
          <t>Vanshika Gupta</t>
        </is>
      </c>
      <c r="C33" s="15" t="inlineStr">
        <is>
          <t>Hindu College, Moradabad</t>
        </is>
      </c>
      <c r="D33" s="15" t="inlineStr">
        <is>
          <t>Mahatma Jyotiba Phule Rohilkhand University, Bareilly</t>
        </is>
      </c>
      <c r="E33" s="15" t="n">
        <v>0</v>
      </c>
      <c r="F33" s="7" t="inlineStr">
        <is>
          <t>No</t>
        </is>
      </c>
    </row>
    <row r="34" ht="26" customHeight="1" s="18">
      <c r="A34" s="14" t="n">
        <v>31</v>
      </c>
      <c r="B34" s="15">
        <f>'📋 Tracker'!C37</f>
        <v/>
      </c>
      <c r="C34" s="16" t="inlineStr">
        <is>
          <t>CMR College of Engineering &amp; Technology</t>
        </is>
      </c>
      <c r="D34" s="15">
        <f>'📋 Tracker'!P37</f>
        <v/>
      </c>
      <c r="E34" s="15">
        <f>'📋 Tracker'!V37</f>
        <v/>
      </c>
      <c r="F34" s="7" t="inlineStr">
        <is>
          <t>No</t>
        </is>
      </c>
    </row>
    <row r="35" ht="26" customHeight="1" s="18">
      <c r="A35" s="14" t="n">
        <v>32</v>
      </c>
      <c r="B35" s="15">
        <f>'📋 Tracker'!C38</f>
        <v/>
      </c>
      <c r="C35" s="15">
        <f>'📋 Tracker'!Q38</f>
        <v/>
      </c>
      <c r="D35" s="15">
        <f>'📋 Tracker'!P38</f>
        <v/>
      </c>
      <c r="E35" s="15">
        <f>'📋 Tracker'!V38</f>
        <v/>
      </c>
      <c r="F35" s="7" t="inlineStr">
        <is>
          <t>No</t>
        </is>
      </c>
    </row>
    <row r="36">
      <c r="A36" s="14" t="n">
        <v>33</v>
      </c>
      <c r="B36" s="15">
        <f>'📋 Tracker'!C39</f>
        <v/>
      </c>
      <c r="C36" s="15">
        <f>'📋 Tracker'!Q39</f>
        <v/>
      </c>
      <c r="D36" s="15">
        <f>'📋 Tracker'!P39</f>
        <v/>
      </c>
      <c r="E36" s="15">
        <f>'📋 Tracker'!V39</f>
        <v/>
      </c>
      <c r="F36" s="7" t="inlineStr">
        <is>
          <t>No</t>
        </is>
      </c>
    </row>
    <row r="37">
      <c r="A37" s="14" t="n">
        <v>34</v>
      </c>
      <c r="B37" s="15">
        <f>'📋 Tracker'!C40</f>
        <v/>
      </c>
      <c r="C37" s="15">
        <f>'📋 Tracker'!Q40</f>
        <v/>
      </c>
      <c r="D37" s="15">
        <f>'📋 Tracker'!P40</f>
        <v/>
      </c>
      <c r="E37" s="15">
        <f>'📋 Tracker'!V40</f>
        <v/>
      </c>
      <c r="F37" s="7" t="inlineStr">
        <is>
          <t>No</t>
        </is>
      </c>
    </row>
    <row r="38">
      <c r="A38" s="14" t="n">
        <v>35</v>
      </c>
      <c r="B38" s="15">
        <f>'📋 Tracker'!C41</f>
        <v/>
      </c>
      <c r="C38" s="15">
        <f>'📋 Tracker'!Q41</f>
        <v/>
      </c>
      <c r="D38" s="15">
        <f>'📋 Tracker'!P41</f>
        <v/>
      </c>
      <c r="E38" s="15">
        <f>'📋 Tracker'!V41</f>
        <v/>
      </c>
      <c r="F38" s="7" t="inlineStr">
        <is>
          <t>No</t>
        </is>
      </c>
    </row>
    <row r="39" ht="26" customHeight="1" s="18">
      <c r="A39" s="14" t="n">
        <v>36</v>
      </c>
      <c r="B39" s="15">
        <f>'📋 Tracker'!C42</f>
        <v/>
      </c>
      <c r="C39" s="15">
        <f>'📋 Tracker'!Q42</f>
        <v/>
      </c>
      <c r="D39" s="15">
        <f>'📋 Tracker'!P42</f>
        <v/>
      </c>
      <c r="E39" s="15">
        <f>'📋 Tracker'!V42</f>
        <v/>
      </c>
      <c r="F39" s="7" t="inlineStr">
        <is>
          <t>No</t>
        </is>
      </c>
    </row>
    <row r="40">
      <c r="A40" s="14" t="n">
        <v>37</v>
      </c>
      <c r="B40" s="15">
        <f>'📋 Tracker'!C43</f>
        <v/>
      </c>
      <c r="C40" s="15">
        <f>'📋 Tracker'!Q43</f>
        <v/>
      </c>
      <c r="D40" s="15">
        <f>'📋 Tracker'!P43</f>
        <v/>
      </c>
      <c r="E40" s="15">
        <f>'📋 Tracker'!V43</f>
        <v/>
      </c>
      <c r="F40" s="7" t="inlineStr">
        <is>
          <t>No</t>
        </is>
      </c>
    </row>
    <row r="41">
      <c r="A41" s="14" t="n">
        <v>38</v>
      </c>
      <c r="B41" s="15">
        <f>'📋 Tracker'!C44</f>
        <v/>
      </c>
      <c r="C41" s="15">
        <f>'📋 Tracker'!Q44</f>
        <v/>
      </c>
      <c r="D41" s="15">
        <f>'📋 Tracker'!P44</f>
        <v/>
      </c>
      <c r="E41" s="15">
        <f>'📋 Tracker'!V44</f>
        <v/>
      </c>
      <c r="F41" s="7" t="inlineStr">
        <is>
          <t>No</t>
        </is>
      </c>
    </row>
    <row r="42" ht="26" customHeight="1" s="18">
      <c r="A42" s="14" t="n">
        <v>39</v>
      </c>
      <c r="B42" s="15">
        <f>'📋 Tracker'!C45</f>
        <v/>
      </c>
      <c r="C42" s="15">
        <f>'📋 Tracker'!Q45</f>
        <v/>
      </c>
      <c r="D42" s="15">
        <f>'📋 Tracker'!P45</f>
        <v/>
      </c>
      <c r="E42" s="15">
        <f>'📋 Tracker'!V45</f>
        <v/>
      </c>
      <c r="F42" s="7" t="inlineStr">
        <is>
          <t>No</t>
        </is>
      </c>
    </row>
    <row r="43" ht="26" customHeight="1" s="18">
      <c r="A43" s="14" t="n">
        <v>40</v>
      </c>
      <c r="B43" s="15">
        <f>'📋 Tracker'!C46</f>
        <v/>
      </c>
      <c r="C43" s="15">
        <f>'📋 Tracker'!Q46</f>
        <v/>
      </c>
      <c r="D43" s="15">
        <f>'📋 Tracker'!P46</f>
        <v/>
      </c>
      <c r="E43" s="15">
        <f>'📋 Tracker'!V46</f>
        <v/>
      </c>
      <c r="F43" s="7" t="inlineStr">
        <is>
          <t>No</t>
        </is>
      </c>
    </row>
    <row r="44" ht="26" customHeight="1" s="18">
      <c r="A44" s="14" t="n">
        <v>41</v>
      </c>
      <c r="B44" s="15">
        <f>'📋 Tracker'!C47</f>
        <v/>
      </c>
      <c r="C44" s="15">
        <f>'📋 Tracker'!Q47</f>
        <v/>
      </c>
      <c r="D44" s="15">
        <f>'📋 Tracker'!P47</f>
        <v/>
      </c>
      <c r="E44" s="15">
        <f>'📋 Tracker'!V47</f>
        <v/>
      </c>
      <c r="F44" s="7" t="inlineStr">
        <is>
          <t>No</t>
        </is>
      </c>
    </row>
    <row r="45" ht="26" customHeight="1" s="18">
      <c r="A45" s="14" t="n">
        <v>42</v>
      </c>
      <c r="B45" s="15">
        <f>'📋 Tracker'!C48</f>
        <v/>
      </c>
      <c r="C45" s="15">
        <f>'📋 Tracker'!Q48</f>
        <v/>
      </c>
      <c r="D45" s="15">
        <f>'📋 Tracker'!P48</f>
        <v/>
      </c>
      <c r="E45" s="15">
        <f>'📋 Tracker'!V48</f>
        <v/>
      </c>
      <c r="F45" s="7" t="inlineStr">
        <is>
          <t>No</t>
        </is>
      </c>
    </row>
    <row r="46" ht="26" customHeight="1" s="18">
      <c r="A46" s="14" t="n">
        <v>43</v>
      </c>
      <c r="B46" s="15">
        <f>'📋 Tracker'!C49</f>
        <v/>
      </c>
      <c r="C46" s="15">
        <f>'📋 Tracker'!Q49</f>
        <v/>
      </c>
      <c r="D46" s="15">
        <f>'📋 Tracker'!P49</f>
        <v/>
      </c>
      <c r="E46" s="15">
        <f>'📋 Tracker'!V49</f>
        <v/>
      </c>
      <c r="F46" s="7" t="inlineStr">
        <is>
          <t>No</t>
        </is>
      </c>
    </row>
    <row r="47" ht="26" customHeight="1" s="18">
      <c r="A47" s="14" t="n">
        <v>44</v>
      </c>
      <c r="B47" s="15">
        <f>'📋 Tracker'!C50</f>
        <v/>
      </c>
      <c r="C47" s="15">
        <f>'📋 Tracker'!Q50</f>
        <v/>
      </c>
      <c r="D47" s="15">
        <f>'📋 Tracker'!P50</f>
        <v/>
      </c>
      <c r="E47" s="15">
        <f>'📋 Tracker'!V50</f>
        <v/>
      </c>
      <c r="F47" s="7" t="inlineStr">
        <is>
          <t>No</t>
        </is>
      </c>
    </row>
    <row r="48">
      <c r="A48" s="14" t="n">
        <v>45</v>
      </c>
      <c r="B48" s="15">
        <f>'📋 Tracker'!C51</f>
        <v/>
      </c>
      <c r="C48" s="15">
        <f>'📋 Tracker'!Q51</f>
        <v/>
      </c>
      <c r="D48" s="15">
        <f>'📋 Tracker'!P51</f>
        <v/>
      </c>
      <c r="E48" s="15">
        <f>'📋 Tracker'!V51</f>
        <v/>
      </c>
      <c r="F48" s="7" t="inlineStr">
        <is>
          <t>No</t>
        </is>
      </c>
    </row>
    <row r="49">
      <c r="A49" s="14" t="n">
        <v>46</v>
      </c>
      <c r="B49" s="15">
        <f>'📋 Tracker'!C52</f>
        <v/>
      </c>
      <c r="C49" s="15">
        <f>'📋 Tracker'!Q52</f>
        <v/>
      </c>
      <c r="D49" s="15">
        <f>'📋 Tracker'!P52</f>
        <v/>
      </c>
      <c r="E49" s="15">
        <f>'📋 Tracker'!V52</f>
        <v/>
      </c>
      <c r="F49" s="7" t="inlineStr">
        <is>
          <t>No</t>
        </is>
      </c>
    </row>
    <row r="50" ht="26" customHeight="1" s="18">
      <c r="A50" s="14" t="n">
        <v>47</v>
      </c>
      <c r="B50" s="15">
        <f>'📋 Tracker'!C53</f>
        <v/>
      </c>
      <c r="C50" s="15">
        <f>'📋 Tracker'!Q53</f>
        <v/>
      </c>
      <c r="D50" s="15">
        <f>'📋 Tracker'!P53</f>
        <v/>
      </c>
      <c r="E50" s="15">
        <f>'📋 Tracker'!V53</f>
        <v/>
      </c>
      <c r="F50" s="7" t="inlineStr">
        <is>
          <t>No</t>
        </is>
      </c>
    </row>
    <row r="51">
      <c r="A51" s="14" t="n">
        <v>48</v>
      </c>
      <c r="B51" s="15">
        <f>'📋 Tracker'!C54</f>
        <v/>
      </c>
      <c r="C51" s="15">
        <f>'📋 Tracker'!Q54</f>
        <v/>
      </c>
      <c r="D51" s="15">
        <f>'📋 Tracker'!P54</f>
        <v/>
      </c>
      <c r="E51" s="15">
        <f>'📋 Tracker'!V54</f>
        <v/>
      </c>
      <c r="F51" s="7" t="inlineStr">
        <is>
          <t>No</t>
        </is>
      </c>
    </row>
    <row r="52" ht="26" customHeight="1" s="18">
      <c r="A52" s="14" t="n">
        <v>49</v>
      </c>
      <c r="B52" s="15">
        <f>'📋 Tracker'!C55</f>
        <v/>
      </c>
      <c r="C52" s="15">
        <f>'📋 Tracker'!Q55</f>
        <v/>
      </c>
      <c r="D52" s="15">
        <f>'📋 Tracker'!P55</f>
        <v/>
      </c>
      <c r="E52" s="15">
        <f>'📋 Tracker'!V55</f>
        <v/>
      </c>
      <c r="F52" s="7" t="inlineStr">
        <is>
          <t>No</t>
        </is>
      </c>
    </row>
    <row r="53">
      <c r="A53" s="14" t="n">
        <v>50</v>
      </c>
      <c r="B53" s="15">
        <f>'📋 Tracker'!C56</f>
        <v/>
      </c>
      <c r="C53" s="15">
        <f>'📋 Tracker'!Q56</f>
        <v/>
      </c>
      <c r="D53" s="15">
        <f>'📋 Tracker'!P56</f>
        <v/>
      </c>
      <c r="E53" s="15">
        <f>'📋 Tracker'!V56</f>
        <v/>
      </c>
      <c r="F53" s="7" t="inlineStr">
        <is>
          <t>No</t>
        </is>
      </c>
    </row>
    <row r="54" ht="26" customHeight="1" s="18">
      <c r="A54" s="14" t="n">
        <v>51</v>
      </c>
      <c r="B54" s="15">
        <f>'📋 Tracker'!C57</f>
        <v/>
      </c>
      <c r="C54" s="15">
        <f>'📋 Tracker'!Q57</f>
        <v/>
      </c>
      <c r="D54" s="15">
        <f>'📋 Tracker'!P57</f>
        <v/>
      </c>
      <c r="E54" s="15">
        <f>'📋 Tracker'!V57</f>
        <v/>
      </c>
      <c r="F54" s="7" t="inlineStr">
        <is>
          <t>No</t>
        </is>
      </c>
    </row>
    <row r="55" ht="26" customHeight="1" s="18">
      <c r="A55" s="14" t="n">
        <v>52</v>
      </c>
      <c r="B55" s="15">
        <f>'📋 Tracker'!C58</f>
        <v/>
      </c>
      <c r="C55" s="15">
        <f>'📋 Tracker'!Q58</f>
        <v/>
      </c>
      <c r="D55" s="15">
        <f>'📋 Tracker'!P58</f>
        <v/>
      </c>
      <c r="E55" s="15">
        <f>'📋 Tracker'!V58</f>
        <v/>
      </c>
      <c r="F55" s="7" t="inlineStr">
        <is>
          <t>No</t>
        </is>
      </c>
    </row>
    <row r="56" ht="26" customHeight="1" s="18">
      <c r="A56" s="14" t="n">
        <v>53</v>
      </c>
      <c r="B56" s="15">
        <f>'📋 Tracker'!C59</f>
        <v/>
      </c>
      <c r="C56" s="15">
        <f>'📋 Tracker'!Q59</f>
        <v/>
      </c>
      <c r="D56" s="15">
        <f>'📋 Tracker'!P59</f>
        <v/>
      </c>
      <c r="E56" s="15">
        <f>'📋 Tracker'!V59</f>
        <v/>
      </c>
      <c r="F56" s="7" t="inlineStr">
        <is>
          <t>No</t>
        </is>
      </c>
    </row>
    <row r="57" ht="26" customHeight="1" s="18">
      <c r="A57" s="14" t="n">
        <v>54</v>
      </c>
      <c r="B57" s="15">
        <f>'📋 Tracker'!C60</f>
        <v/>
      </c>
      <c r="C57" s="15">
        <f>'📋 Tracker'!Q60</f>
        <v/>
      </c>
      <c r="D57" s="15">
        <f>'📋 Tracker'!P60</f>
        <v/>
      </c>
      <c r="E57" s="15">
        <f>'📋 Tracker'!V60</f>
        <v/>
      </c>
      <c r="F57" s="7" t="inlineStr">
        <is>
          <t>No</t>
        </is>
      </c>
    </row>
    <row r="58" ht="26" customHeight="1" s="18">
      <c r="A58" s="14" t="n">
        <v>55</v>
      </c>
      <c r="B58" s="15">
        <f>'📋 Tracker'!C61</f>
        <v/>
      </c>
      <c r="C58" s="15">
        <f>'📋 Tracker'!Q61</f>
        <v/>
      </c>
      <c r="D58" s="15">
        <f>'📋 Tracker'!P61</f>
        <v/>
      </c>
      <c r="E58" s="15">
        <f>'📋 Tracker'!V61</f>
        <v/>
      </c>
      <c r="F58" s="7" t="inlineStr">
        <is>
          <t>No</t>
        </is>
      </c>
    </row>
    <row r="59" ht="26" customHeight="1" s="18">
      <c r="A59" s="14" t="n">
        <v>56</v>
      </c>
      <c r="B59" s="15">
        <f>'📋 Tracker'!C62</f>
        <v/>
      </c>
      <c r="C59" s="15">
        <f>'📋 Tracker'!Q62</f>
        <v/>
      </c>
      <c r="D59" s="15">
        <f>'📋 Tracker'!P62</f>
        <v/>
      </c>
      <c r="E59" s="15">
        <f>'📋 Tracker'!V62</f>
        <v/>
      </c>
      <c r="F59" s="7" t="inlineStr">
        <is>
          <t>No</t>
        </is>
      </c>
    </row>
    <row r="60" ht="26" customHeight="1" s="18">
      <c r="A60" s="14" t="n">
        <v>57</v>
      </c>
      <c r="B60" s="15">
        <f>'📋 Tracker'!C63</f>
        <v/>
      </c>
      <c r="C60" s="15">
        <f>'📋 Tracker'!Q63</f>
        <v/>
      </c>
      <c r="D60" s="15">
        <f>'📋 Tracker'!P63</f>
        <v/>
      </c>
      <c r="E60" s="15">
        <f>'📋 Tracker'!V63</f>
        <v/>
      </c>
      <c r="F60" s="7" t="inlineStr">
        <is>
          <t>No</t>
        </is>
      </c>
    </row>
    <row r="61" ht="26" customHeight="1" s="18">
      <c r="A61" s="14" t="n">
        <v>58</v>
      </c>
      <c r="B61" s="15">
        <f>'📋 Tracker'!C64</f>
        <v/>
      </c>
      <c r="C61" s="15">
        <f>'📋 Tracker'!Q64</f>
        <v/>
      </c>
      <c r="D61" s="15">
        <f>'📋 Tracker'!P64</f>
        <v/>
      </c>
      <c r="E61" s="15">
        <f>'📋 Tracker'!V64</f>
        <v/>
      </c>
      <c r="F61" s="7" t="inlineStr">
        <is>
          <t>No</t>
        </is>
      </c>
    </row>
    <row r="62" ht="26" customHeight="1" s="18">
      <c r="A62" s="14" t="n">
        <v>59</v>
      </c>
      <c r="B62" s="15">
        <f>'📋 Tracker'!C65</f>
        <v/>
      </c>
      <c r="C62" s="15">
        <f>'📋 Tracker'!Q65</f>
        <v/>
      </c>
      <c r="D62" s="15">
        <f>'📋 Tracker'!P65</f>
        <v/>
      </c>
      <c r="E62" s="15">
        <f>'📋 Tracker'!V65</f>
        <v/>
      </c>
      <c r="F62" s="7" t="inlineStr">
        <is>
          <t>No</t>
        </is>
      </c>
    </row>
    <row r="63">
      <c r="A63" s="14" t="n">
        <v>60</v>
      </c>
      <c r="B63" s="15">
        <f>'📋 Tracker'!C66</f>
        <v/>
      </c>
      <c r="C63" s="15">
        <f>'📋 Tracker'!Q66</f>
        <v/>
      </c>
      <c r="D63" s="15">
        <f>'📋 Tracker'!P66</f>
        <v/>
      </c>
      <c r="E63" s="15">
        <f>'📋 Tracker'!V66</f>
        <v/>
      </c>
      <c r="F63" s="7" t="inlineStr">
        <is>
          <t>No</t>
        </is>
      </c>
    </row>
    <row r="64" ht="39" customHeight="1" s="18">
      <c r="A64" s="14" t="n">
        <v>61</v>
      </c>
      <c r="B64" s="15">
        <f>'📋 Tracker'!C67</f>
        <v/>
      </c>
      <c r="C64" s="15">
        <f>'📋 Tracker'!Q67</f>
        <v/>
      </c>
      <c r="D64" s="15">
        <f>'📋 Tracker'!P67</f>
        <v/>
      </c>
      <c r="E64" s="15">
        <f>'📋 Tracker'!V67</f>
        <v/>
      </c>
      <c r="F64" s="7" t="inlineStr">
        <is>
          <t>No</t>
        </is>
      </c>
    </row>
    <row r="65" ht="26" customHeight="1" s="18">
      <c r="A65" s="14" t="n">
        <v>62</v>
      </c>
      <c r="B65" s="15">
        <f>'📋 Tracker'!C68</f>
        <v/>
      </c>
      <c r="C65" s="15">
        <f>'📋 Tracker'!Q68</f>
        <v/>
      </c>
      <c r="D65" s="15">
        <f>'📋 Tracker'!P68</f>
        <v/>
      </c>
      <c r="E65" s="15">
        <f>'📋 Tracker'!V68</f>
        <v/>
      </c>
      <c r="F65" s="7" t="inlineStr">
        <is>
          <t>No</t>
        </is>
      </c>
    </row>
    <row r="66" ht="26" customHeight="1" s="18">
      <c r="A66" s="14" t="n">
        <v>63</v>
      </c>
      <c r="B66" s="15">
        <f>'📋 Tracker'!C69</f>
        <v/>
      </c>
      <c r="C66" s="15">
        <f>'📋 Tracker'!Q69</f>
        <v/>
      </c>
      <c r="D66" s="15">
        <f>'📋 Tracker'!P69</f>
        <v/>
      </c>
      <c r="E66" s="15">
        <f>'📋 Tracker'!V69</f>
        <v/>
      </c>
      <c r="F66" s="7" t="inlineStr">
        <is>
          <t>No</t>
        </is>
      </c>
    </row>
    <row r="67" ht="26" customHeight="1" s="18">
      <c r="A67" s="14" t="n">
        <v>64</v>
      </c>
      <c r="B67" s="15">
        <f>'📋 Tracker'!C70</f>
        <v/>
      </c>
      <c r="C67" s="15">
        <f>'📋 Tracker'!Q70</f>
        <v/>
      </c>
      <c r="D67" s="15">
        <f>'📋 Tracker'!P70</f>
        <v/>
      </c>
      <c r="E67" s="15">
        <f>'📋 Tracker'!V70</f>
        <v/>
      </c>
      <c r="F67" s="7" t="inlineStr">
        <is>
          <t>No</t>
        </is>
      </c>
    </row>
    <row r="68" ht="39" customHeight="1" s="18">
      <c r="A68" s="14" t="n">
        <v>65</v>
      </c>
      <c r="B68" s="15">
        <f>'📋 Tracker'!C71</f>
        <v/>
      </c>
      <c r="C68" s="15">
        <f>'📋 Tracker'!Q71</f>
        <v/>
      </c>
      <c r="D68" s="15">
        <f>'📋 Tracker'!P71</f>
        <v/>
      </c>
      <c r="E68" s="15">
        <f>'📋 Tracker'!V71</f>
        <v/>
      </c>
      <c r="F68" s="7" t="inlineStr">
        <is>
          <t>No</t>
        </is>
      </c>
    </row>
    <row r="69">
      <c r="A69" s="14" t="n">
        <v>66</v>
      </c>
      <c r="B69" s="15">
        <f>'📋 Tracker'!C72</f>
        <v/>
      </c>
      <c r="C69" s="15">
        <f>'📋 Tracker'!Q72</f>
        <v/>
      </c>
      <c r="D69" s="15">
        <f>'📋 Tracker'!P72</f>
        <v/>
      </c>
      <c r="E69" s="15">
        <f>'📋 Tracker'!V72</f>
        <v/>
      </c>
      <c r="F69" s="7" t="inlineStr">
        <is>
          <t>No</t>
        </is>
      </c>
    </row>
    <row r="70" ht="26" customHeight="1" s="18">
      <c r="A70" s="14" t="n">
        <v>67</v>
      </c>
      <c r="B70" s="15">
        <f>'📋 Tracker'!C73</f>
        <v/>
      </c>
      <c r="C70" s="15">
        <f>'📋 Tracker'!Q73</f>
        <v/>
      </c>
      <c r="D70" s="15">
        <f>'📋 Tracker'!P73</f>
        <v/>
      </c>
      <c r="E70" s="15">
        <f>'📋 Tracker'!V73</f>
        <v/>
      </c>
      <c r="F70" s="7" t="inlineStr">
        <is>
          <t>No</t>
        </is>
      </c>
    </row>
    <row r="71">
      <c r="A71" s="14" t="n">
        <v>68</v>
      </c>
      <c r="B71" s="15">
        <f>'📋 Tracker'!C74</f>
        <v/>
      </c>
      <c r="C71" s="15">
        <f>'📋 Tracker'!Q74</f>
        <v/>
      </c>
      <c r="D71" s="15">
        <f>'📋 Tracker'!P74</f>
        <v/>
      </c>
      <c r="E71" s="15">
        <f>'📋 Tracker'!V74</f>
        <v/>
      </c>
      <c r="F71" s="7" t="inlineStr">
        <is>
          <t>No</t>
        </is>
      </c>
    </row>
    <row r="72" ht="26" customHeight="1" s="18">
      <c r="A72" s="14" t="n">
        <v>69</v>
      </c>
      <c r="B72" s="15">
        <f>'📋 Tracker'!C75</f>
        <v/>
      </c>
      <c r="C72" s="15">
        <f>'📋 Tracker'!Q75</f>
        <v/>
      </c>
      <c r="D72" s="15">
        <f>'📋 Tracker'!P75</f>
        <v/>
      </c>
      <c r="E72" s="15">
        <f>'📋 Tracker'!V75</f>
        <v/>
      </c>
      <c r="F72" s="7" t="inlineStr">
        <is>
          <t>No</t>
        </is>
      </c>
    </row>
    <row r="73">
      <c r="A73" s="14" t="n">
        <v>70</v>
      </c>
      <c r="B73" s="15">
        <f>'📋 Tracker'!C76</f>
        <v/>
      </c>
      <c r="C73" s="15">
        <f>'📋 Tracker'!Q76</f>
        <v/>
      </c>
      <c r="D73" s="15">
        <f>'📋 Tracker'!P76</f>
        <v/>
      </c>
      <c r="E73" s="15">
        <f>'📋 Tracker'!V76</f>
        <v/>
      </c>
      <c r="F73" s="7" t="inlineStr">
        <is>
          <t>No</t>
        </is>
      </c>
    </row>
    <row r="74">
      <c r="A74" s="14" t="n">
        <v>71</v>
      </c>
      <c r="B74" s="15">
        <f>'📋 Tracker'!C77</f>
        <v/>
      </c>
      <c r="C74" s="15">
        <f>'📋 Tracker'!Q77</f>
        <v/>
      </c>
      <c r="D74" s="15">
        <f>'📋 Tracker'!P77</f>
        <v/>
      </c>
      <c r="E74" s="15">
        <f>'📋 Tracker'!V77</f>
        <v/>
      </c>
      <c r="F74" s="7" t="inlineStr">
        <is>
          <t>No</t>
        </is>
      </c>
    </row>
    <row r="75" ht="26" customHeight="1" s="18">
      <c r="A75" s="14" t="n">
        <v>72</v>
      </c>
      <c r="B75" s="15">
        <f>'📋 Tracker'!C78</f>
        <v/>
      </c>
      <c r="C75" s="15">
        <f>'📋 Tracker'!Q78</f>
        <v/>
      </c>
      <c r="D75" s="15">
        <f>'📋 Tracker'!P78</f>
        <v/>
      </c>
      <c r="E75" s="15">
        <f>'📋 Tracker'!V78</f>
        <v/>
      </c>
      <c r="F75" s="7" t="inlineStr">
        <is>
          <t>No</t>
        </is>
      </c>
    </row>
    <row r="76">
      <c r="A76" s="14" t="n">
        <v>73</v>
      </c>
      <c r="B76" s="15">
        <f>'📋 Tracker'!C79</f>
        <v/>
      </c>
      <c r="C76" s="15">
        <f>'📋 Tracker'!Q79</f>
        <v/>
      </c>
      <c r="D76" s="15">
        <f>'📋 Tracker'!P79</f>
        <v/>
      </c>
      <c r="E76" s="15">
        <f>'📋 Tracker'!V79</f>
        <v/>
      </c>
      <c r="F76" s="7" t="inlineStr">
        <is>
          <t>No</t>
        </is>
      </c>
    </row>
    <row r="77" ht="26" customHeight="1" s="18">
      <c r="A77" s="14" t="n">
        <v>74</v>
      </c>
      <c r="B77" s="15">
        <f>'📋 Tracker'!C80</f>
        <v/>
      </c>
      <c r="C77" s="15">
        <f>'📋 Tracker'!Q80</f>
        <v/>
      </c>
      <c r="D77" s="15">
        <f>'📋 Tracker'!P80</f>
        <v/>
      </c>
      <c r="E77" s="15">
        <f>'📋 Tracker'!V80</f>
        <v/>
      </c>
      <c r="F77" s="7" t="inlineStr">
        <is>
          <t>No</t>
        </is>
      </c>
    </row>
    <row r="78" ht="26" customHeight="1" s="18">
      <c r="A78" s="14" t="n">
        <v>75</v>
      </c>
      <c r="B78" s="15">
        <f>'📋 Tracker'!C81</f>
        <v/>
      </c>
      <c r="C78" s="15">
        <f>'📋 Tracker'!Q81</f>
        <v/>
      </c>
      <c r="D78" s="15">
        <f>'📋 Tracker'!P81</f>
        <v/>
      </c>
      <c r="E78" s="15">
        <f>'📋 Tracker'!V81</f>
        <v/>
      </c>
      <c r="F78" s="7" t="inlineStr">
        <is>
          <t>No</t>
        </is>
      </c>
    </row>
    <row r="79" ht="26" customHeight="1" s="18">
      <c r="A79" s="14" t="n">
        <v>76</v>
      </c>
      <c r="B79" s="15">
        <f>'📋 Tracker'!C82</f>
        <v/>
      </c>
      <c r="C79" s="15">
        <f>'📋 Tracker'!Q82</f>
        <v/>
      </c>
      <c r="D79" s="15">
        <f>'📋 Tracker'!P82</f>
        <v/>
      </c>
      <c r="E79" s="15">
        <f>'📋 Tracker'!V82</f>
        <v/>
      </c>
      <c r="F79" s="7" t="inlineStr">
        <is>
          <t>No</t>
        </is>
      </c>
    </row>
    <row r="80">
      <c r="A80" s="14" t="n">
        <v>77</v>
      </c>
      <c r="B80" s="15">
        <f>'📋 Tracker'!C83</f>
        <v/>
      </c>
      <c r="C80" s="15">
        <f>'📋 Tracker'!Q83</f>
        <v/>
      </c>
      <c r="D80" s="15">
        <f>'📋 Tracker'!P83</f>
        <v/>
      </c>
      <c r="E80" s="15">
        <f>'📋 Tracker'!V83</f>
        <v/>
      </c>
      <c r="F80" s="7" t="inlineStr">
        <is>
          <t>No</t>
        </is>
      </c>
    </row>
    <row r="81" ht="26" customHeight="1" s="18">
      <c r="A81" s="14" t="n">
        <v>78</v>
      </c>
      <c r="B81" s="15">
        <f>'📋 Tracker'!C84</f>
        <v/>
      </c>
      <c r="C81" s="15">
        <f>'📋 Tracker'!Q84</f>
        <v/>
      </c>
      <c r="D81" s="15">
        <f>'📋 Tracker'!P84</f>
        <v/>
      </c>
      <c r="E81" s="15">
        <f>'📋 Tracker'!V84</f>
        <v/>
      </c>
      <c r="F81" s="7" t="inlineStr">
        <is>
          <t>No</t>
        </is>
      </c>
    </row>
    <row r="82" ht="39" customHeight="1" s="18">
      <c r="A82" s="14" t="n">
        <v>79</v>
      </c>
      <c r="B82" s="15">
        <f>'📋 Tracker'!C85</f>
        <v/>
      </c>
      <c r="C82" s="15">
        <f>'📋 Tracker'!Q85</f>
        <v/>
      </c>
      <c r="D82" s="15">
        <f>'📋 Tracker'!P85</f>
        <v/>
      </c>
      <c r="E82" s="15">
        <f>'📋 Tracker'!V85</f>
        <v/>
      </c>
      <c r="F82" s="7" t="inlineStr">
        <is>
          <t>No</t>
        </is>
      </c>
    </row>
    <row r="83" ht="26" customHeight="1" s="18">
      <c r="A83" s="14" t="n">
        <v>80</v>
      </c>
      <c r="B83" s="15">
        <f>'📋 Tracker'!C86</f>
        <v/>
      </c>
      <c r="C83" s="15">
        <f>'📋 Tracker'!Q86</f>
        <v/>
      </c>
      <c r="D83" s="15">
        <f>'📋 Tracker'!P86</f>
        <v/>
      </c>
      <c r="E83" s="15">
        <f>'📋 Tracker'!V86</f>
        <v/>
      </c>
      <c r="F83" s="7" t="inlineStr">
        <is>
          <t>No</t>
        </is>
      </c>
    </row>
    <row r="84" ht="26" customHeight="1" s="18">
      <c r="A84" s="14" t="n">
        <v>81</v>
      </c>
      <c r="B84" s="15">
        <f>'📋 Tracker'!C87</f>
        <v/>
      </c>
      <c r="C84" s="15">
        <f>'📋 Tracker'!Q87</f>
        <v/>
      </c>
      <c r="D84" s="15">
        <f>'📋 Tracker'!P87</f>
        <v/>
      </c>
      <c r="E84" s="15">
        <f>'📋 Tracker'!V87</f>
        <v/>
      </c>
      <c r="F84" s="7" t="inlineStr">
        <is>
          <t>No</t>
        </is>
      </c>
    </row>
    <row r="85" ht="26" customHeight="1" s="18">
      <c r="A85" s="14" t="n">
        <v>82</v>
      </c>
      <c r="B85" s="15">
        <f>'📋 Tracker'!C88</f>
        <v/>
      </c>
      <c r="C85" s="15">
        <f>'📋 Tracker'!Q88</f>
        <v/>
      </c>
      <c r="D85" s="15">
        <f>'📋 Tracker'!P88</f>
        <v/>
      </c>
      <c r="E85" s="15">
        <f>'📋 Tracker'!V88</f>
        <v/>
      </c>
      <c r="F85" s="7" t="inlineStr">
        <is>
          <t>No</t>
        </is>
      </c>
    </row>
    <row r="86" ht="39" customHeight="1" s="18">
      <c r="A86" s="14" t="n">
        <v>83</v>
      </c>
      <c r="B86" s="15">
        <f>'📋 Tracker'!C89</f>
        <v/>
      </c>
      <c r="C86" s="15">
        <f>'📋 Tracker'!Q89</f>
        <v/>
      </c>
      <c r="D86" s="15">
        <f>'📋 Tracker'!P89</f>
        <v/>
      </c>
      <c r="E86" s="15">
        <f>'📋 Tracker'!V89</f>
        <v/>
      </c>
      <c r="F86" s="7" t="inlineStr">
        <is>
          <t>No</t>
        </is>
      </c>
    </row>
    <row r="87">
      <c r="A87" s="14" t="n">
        <v>84</v>
      </c>
      <c r="B87" s="15">
        <f>'📋 Tracker'!C90</f>
        <v/>
      </c>
      <c r="C87" s="15">
        <f>'📋 Tracker'!Q90</f>
        <v/>
      </c>
      <c r="D87" s="15">
        <f>'📋 Tracker'!P90</f>
        <v/>
      </c>
      <c r="E87" s="15">
        <f>'📋 Tracker'!V90</f>
        <v/>
      </c>
      <c r="F87" s="7" t="inlineStr">
        <is>
          <t>No</t>
        </is>
      </c>
    </row>
    <row r="88" ht="39" customHeight="1" s="18">
      <c r="A88" s="14" t="n">
        <v>85</v>
      </c>
      <c r="B88" s="15">
        <f>'📋 Tracker'!C91</f>
        <v/>
      </c>
      <c r="C88" s="15">
        <f>'📋 Tracker'!Q91</f>
        <v/>
      </c>
      <c r="D88" s="15">
        <f>'📋 Tracker'!P91</f>
        <v/>
      </c>
      <c r="E88" s="15">
        <f>'📋 Tracker'!V91</f>
        <v/>
      </c>
      <c r="F88" s="7" t="inlineStr">
        <is>
          <t>No</t>
        </is>
      </c>
    </row>
    <row r="89" ht="26" customHeight="1" s="18">
      <c r="A89" s="14" t="n">
        <v>86</v>
      </c>
      <c r="B89" s="15">
        <f>'📋 Tracker'!C92</f>
        <v/>
      </c>
      <c r="C89" s="15">
        <f>'📋 Tracker'!Q92</f>
        <v/>
      </c>
      <c r="D89" s="15">
        <f>'📋 Tracker'!P92</f>
        <v/>
      </c>
      <c r="E89" s="15">
        <f>'📋 Tracker'!V92</f>
        <v/>
      </c>
      <c r="F89" s="7" t="inlineStr">
        <is>
          <t>No</t>
        </is>
      </c>
    </row>
    <row r="90" ht="26" customHeight="1" s="18">
      <c r="A90" s="14" t="n">
        <v>87</v>
      </c>
      <c r="B90" s="15">
        <f>'📋 Tracker'!C93</f>
        <v/>
      </c>
      <c r="C90" s="15">
        <f>'📋 Tracker'!Q93</f>
        <v/>
      </c>
      <c r="D90" s="15">
        <f>'📋 Tracker'!P93</f>
        <v/>
      </c>
      <c r="E90" s="15">
        <f>'📋 Tracker'!V93</f>
        <v/>
      </c>
      <c r="F90" s="7" t="inlineStr">
        <is>
          <t>No</t>
        </is>
      </c>
    </row>
    <row r="91">
      <c r="A91" s="14" t="n">
        <v>88</v>
      </c>
      <c r="B91" s="15">
        <f>'📋 Tracker'!C94</f>
        <v/>
      </c>
      <c r="C91" s="15">
        <f>'📋 Tracker'!Q94</f>
        <v/>
      </c>
      <c r="D91" s="15">
        <f>'📋 Tracker'!P94</f>
        <v/>
      </c>
      <c r="E91" s="15">
        <f>'📋 Tracker'!V94</f>
        <v/>
      </c>
      <c r="F91" s="7" t="inlineStr">
        <is>
          <t>No</t>
        </is>
      </c>
    </row>
    <row r="92" ht="26" customHeight="1" s="18">
      <c r="A92" s="14" t="n">
        <v>89</v>
      </c>
      <c r="B92" s="15">
        <f>'📋 Tracker'!C95</f>
        <v/>
      </c>
      <c r="C92" s="15">
        <f>'📋 Tracker'!Q95</f>
        <v/>
      </c>
      <c r="D92" s="15">
        <f>'📋 Tracker'!P95</f>
        <v/>
      </c>
      <c r="E92" s="15">
        <f>'📋 Tracker'!V95</f>
        <v/>
      </c>
      <c r="F92" s="7" t="inlineStr">
        <is>
          <t>No</t>
        </is>
      </c>
    </row>
    <row r="93" ht="26" customHeight="1" s="18">
      <c r="A93" s="14" t="n">
        <v>90</v>
      </c>
      <c r="B93" s="15">
        <f>'📋 Tracker'!C96</f>
        <v/>
      </c>
      <c r="C93" s="15">
        <f>'📋 Tracker'!Q96</f>
        <v/>
      </c>
      <c r="D93" s="15">
        <f>'📋 Tracker'!P96</f>
        <v/>
      </c>
      <c r="E93" s="15">
        <f>'📋 Tracker'!V96</f>
        <v/>
      </c>
      <c r="F93" s="7" t="inlineStr">
        <is>
          <t>No</t>
        </is>
      </c>
    </row>
    <row r="94">
      <c r="A94" s="14" t="n">
        <v>91</v>
      </c>
      <c r="B94" s="15">
        <f>'📋 Tracker'!C97</f>
        <v/>
      </c>
      <c r="C94" s="15">
        <f>'📋 Tracker'!Q97</f>
        <v/>
      </c>
      <c r="D94" s="15">
        <f>'📋 Tracker'!P97</f>
        <v/>
      </c>
      <c r="E94" s="15">
        <f>'📋 Tracker'!V97</f>
        <v/>
      </c>
      <c r="F94" s="7" t="inlineStr">
        <is>
          <t>No</t>
        </is>
      </c>
    </row>
    <row r="95">
      <c r="A95" s="14" t="n">
        <v>92</v>
      </c>
      <c r="B95" s="15">
        <f>'📋 Tracker'!C98</f>
        <v/>
      </c>
      <c r="C95" s="15">
        <f>'📋 Tracker'!Q98</f>
        <v/>
      </c>
      <c r="D95" s="15">
        <f>'📋 Tracker'!P98</f>
        <v/>
      </c>
      <c r="E95" s="15">
        <f>'📋 Tracker'!V98</f>
        <v/>
      </c>
      <c r="F95" s="7" t="inlineStr">
        <is>
          <t>No</t>
        </is>
      </c>
    </row>
    <row r="96">
      <c r="A96" s="14" t="n">
        <v>93</v>
      </c>
      <c r="B96" s="15">
        <f>'📋 Tracker'!C99</f>
        <v/>
      </c>
      <c r="C96" s="15">
        <f>'📋 Tracker'!Q99</f>
        <v/>
      </c>
      <c r="D96" s="15">
        <f>'📋 Tracker'!P99</f>
        <v/>
      </c>
      <c r="E96" s="15">
        <f>'📋 Tracker'!V99</f>
        <v/>
      </c>
      <c r="F96" s="7" t="inlineStr">
        <is>
          <t>No</t>
        </is>
      </c>
    </row>
    <row r="97" ht="26" customHeight="1" s="18">
      <c r="A97" s="14" t="n">
        <v>94</v>
      </c>
      <c r="B97" s="15">
        <f>'📋 Tracker'!C100</f>
        <v/>
      </c>
      <c r="C97" s="15">
        <f>'📋 Tracker'!Q100</f>
        <v/>
      </c>
      <c r="D97" s="15">
        <f>'📋 Tracker'!P100</f>
        <v/>
      </c>
      <c r="E97" s="15">
        <f>'📋 Tracker'!V100</f>
        <v/>
      </c>
      <c r="F97" s="7" t="inlineStr">
        <is>
          <t>No</t>
        </is>
      </c>
    </row>
    <row r="98" ht="26" customHeight="1" s="18">
      <c r="A98" s="14" t="n">
        <v>95</v>
      </c>
      <c r="B98" s="15">
        <f>'📋 Tracker'!C101</f>
        <v/>
      </c>
      <c r="C98" s="15">
        <f>'📋 Tracker'!Q101</f>
        <v/>
      </c>
      <c r="D98" s="15">
        <f>'📋 Tracker'!P101</f>
        <v/>
      </c>
      <c r="E98" s="15">
        <f>'📋 Tracker'!V101</f>
        <v/>
      </c>
      <c r="F98" s="7" t="inlineStr">
        <is>
          <t>No</t>
        </is>
      </c>
    </row>
    <row r="99">
      <c r="A99" s="14" t="n">
        <v>98</v>
      </c>
      <c r="B99" s="15" t="inlineStr">
        <is>
          <t>Samrat Gade</t>
        </is>
      </c>
      <c r="C99" s="15" t="inlineStr">
        <is>
          <t>SIT Sinhgad Institute Of Technology Lonavala</t>
        </is>
      </c>
      <c r="D99" s="15" t="inlineStr">
        <is>
          <t>B.E (Mechanical)</t>
        </is>
      </c>
      <c r="E99" s="15" t="n"/>
      <c r="F99" s="7" t="inlineStr">
        <is>
          <t>No</t>
        </is>
      </c>
    </row>
    <row r="100">
      <c r="A100" s="14" t="n">
        <v>99</v>
      </c>
      <c r="B100" s="15" t="inlineStr">
        <is>
          <t>Nandini Goyal</t>
        </is>
      </c>
      <c r="C100" s="15" t="inlineStr">
        <is>
          <t>Brihan Maharashtra College of Commerce</t>
        </is>
      </c>
      <c r="D100" s="15" t="inlineStr">
        <is>
          <t>B.Com (Finance)</t>
        </is>
      </c>
      <c r="E100" s="15" t="n"/>
      <c r="F100" s="7" t="inlineStr">
        <is>
          <t>No</t>
        </is>
      </c>
    </row>
    <row r="101">
      <c r="A101" s="14" t="n">
        <v>100</v>
      </c>
      <c r="B101" s="15" t="inlineStr">
        <is>
          <t>Beulah Marrivada</t>
        </is>
      </c>
      <c r="C101" s="15" t="inlineStr">
        <is>
          <t>IU International University of Applied Sciences</t>
        </is>
      </c>
      <c r="D101" s="15" t="inlineStr">
        <is>
          <t>BSc Computer Science</t>
        </is>
      </c>
      <c r="E101" s="15" t="n"/>
      <c r="F101" s="7" t="inlineStr">
        <is>
          <t>No</t>
        </is>
      </c>
    </row>
    <row r="102">
      <c r="A102" s="14" t="n">
        <v>101</v>
      </c>
      <c r="B102" s="15" t="inlineStr">
        <is>
          <t>Adil Kadirahmed Malik</t>
        </is>
      </c>
      <c r="C102" s="15" t="n"/>
      <c r="D102" s="15" t="n"/>
      <c r="E102" s="15" t="n"/>
      <c r="F102" s="7" t="inlineStr">
        <is>
          <t>No</t>
        </is>
      </c>
    </row>
    <row r="103">
      <c r="A103" s="14" t="n">
        <v>102</v>
      </c>
      <c r="B103" s="15" t="inlineStr">
        <is>
          <t>Sanketh Ponnappa AK</t>
        </is>
      </c>
      <c r="C103" s="15" t="n"/>
      <c r="D103" s="15" t="inlineStr">
        <is>
          <t>BBA (Honours)</t>
        </is>
      </c>
      <c r="E103" s="15" t="inlineStr">
        <is>
          <t>Krupa.s@reva.edu.in</t>
        </is>
      </c>
      <c r="F103" s="7" t="inlineStr">
        <is>
          <t>No</t>
        </is>
      </c>
    </row>
    <row r="104">
      <c r="A104" s="14" t="n">
        <v>103</v>
      </c>
      <c r="B104" s="15" t="inlineStr">
        <is>
          <t>Sharon M Das</t>
        </is>
      </c>
      <c r="C104" s="15" t="inlineStr">
        <is>
          <t>Lowry Adventist College</t>
        </is>
      </c>
      <c r="D104" s="15" t="inlineStr">
        <is>
          <t>BBA</t>
        </is>
      </c>
      <c r="E104" s="15" t="inlineStr">
        <is>
          <t>ajaidavid@lowryinstitutions.org.in</t>
        </is>
      </c>
      <c r="F104" s="7" t="inlineStr">
        <is>
          <t>No</t>
        </is>
      </c>
    </row>
    <row r="105">
      <c r="A105" s="14" t="n">
        <v>104</v>
      </c>
      <c r="B105" s="15" t="inlineStr">
        <is>
          <t>Clavin Clement Rodrigues</t>
        </is>
      </c>
      <c r="C105" s="15" t="inlineStr">
        <is>
          <t>Sahyadri Commerce and Management College</t>
        </is>
      </c>
      <c r="D105" s="15" t="inlineStr">
        <is>
          <t>BBA (Tourism and Travel)</t>
        </is>
      </c>
      <c r="E105" s="15" t="n"/>
      <c r="F105" s="7" t="inlineStr">
        <is>
          <t>No</t>
        </is>
      </c>
    </row>
    <row r="106">
      <c r="A106" s="14" t="n">
        <v>105</v>
      </c>
      <c r="B106" s="15" t="inlineStr">
        <is>
          <t>Kavya Channabasappa</t>
        </is>
      </c>
      <c r="C106" s="15" t="inlineStr">
        <is>
          <t>Sidganga Evening College</t>
        </is>
      </c>
      <c r="D106" s="15" t="inlineStr">
        <is>
          <t>B.Com (Accounting &amp; Taxation)</t>
        </is>
      </c>
      <c r="E106" s="15" t="inlineStr">
        <is>
          <t>registrar@bangaloreuniversity.ac.in</t>
        </is>
      </c>
      <c r="F106" s="7" t="inlineStr">
        <is>
          <t>No</t>
        </is>
      </c>
    </row>
    <row r="107">
      <c r="A107" s="14" t="n">
        <v>106</v>
      </c>
      <c r="B107" s="15" t="inlineStr">
        <is>
          <t>Preetham Uthappa</t>
        </is>
      </c>
      <c r="C107" s="15" t="n"/>
      <c r="D107" s="15" t="n"/>
      <c r="E107" s="15" t="n"/>
      <c r="F107" s="7" t="inlineStr">
        <is>
          <t>No</t>
        </is>
      </c>
    </row>
    <row r="108">
      <c r="A108" s="14" t="n">
        <v>107</v>
      </c>
      <c r="B108" s="15" t="inlineStr">
        <is>
          <t>Chandan S S</t>
        </is>
      </c>
      <c r="C108" s="15" t="inlineStr">
        <is>
          <t>Jain College</t>
        </is>
      </c>
      <c r="D108" s="15" t="inlineStr">
        <is>
          <t>B.Com (Finance)</t>
        </is>
      </c>
      <c r="E108" s="15" t="inlineStr">
        <is>
          <t>registrarevaluation@bub.ernet.in</t>
        </is>
      </c>
      <c r="F108" s="7" t="inlineStr">
        <is>
          <t>No</t>
        </is>
      </c>
    </row>
    <row r="109">
      <c r="A109" s="14" t="n">
        <v>108</v>
      </c>
      <c r="B109" s="15" t="inlineStr">
        <is>
          <t>Lateshkumar N</t>
        </is>
      </c>
      <c r="C109" s="15" t="inlineStr">
        <is>
          <t>Malnad College of Engineering</t>
        </is>
      </c>
      <c r="D109" s="15" t="inlineStr">
        <is>
          <t>B.E (Electrical &amp; Electronics)</t>
        </is>
      </c>
      <c r="E109" s="15" t="inlineStr">
        <is>
          <t>sr@mcehassan.ac.in</t>
        </is>
      </c>
      <c r="F109" s="7" t="inlineStr">
        <is>
          <t>No</t>
        </is>
      </c>
    </row>
    <row r="110">
      <c r="A110" s="14" t="n">
        <v>109</v>
      </c>
      <c r="B110" s="15" t="inlineStr">
        <is>
          <t>Numan Tariq Fafoo</t>
        </is>
      </c>
      <c r="C110" s="15" t="inlineStr">
        <is>
          <t>IU International University of Applied Sciences</t>
        </is>
      </c>
      <c r="D110" s="15" t="inlineStr">
        <is>
          <t>B.Sc Computer Science</t>
        </is>
      </c>
      <c r="E110" s="15" t="inlineStr">
        <is>
          <t>cornelia.heinisch@iu.org</t>
        </is>
      </c>
      <c r="F110" s="7" t="inlineStr">
        <is>
          <t>No</t>
        </is>
      </c>
    </row>
    <row r="111">
      <c r="A111" s="14" t="n">
        <v>110</v>
      </c>
      <c r="B111" s="15" t="inlineStr">
        <is>
          <t>Manikanta Narayanadas</t>
        </is>
      </c>
      <c r="C111" s="15" t="inlineStr">
        <is>
          <t>GITAM</t>
        </is>
      </c>
      <c r="D111" s="15" t="inlineStr">
        <is>
          <t>B.Tech (CSE)</t>
        </is>
      </c>
      <c r="E111" s="15" t="inlineStr">
        <is>
          <t>vkommana@gitam.edu</t>
        </is>
      </c>
      <c r="F111" s="7" t="inlineStr">
        <is>
          <t>No</t>
        </is>
      </c>
    </row>
  </sheetData>
  <mergeCells count="1">
    <mergeCell ref="A1:F1"/>
  </mergeCells>
  <conditionalFormatting sqref="C35:C37 F1:F1048576 L30">
    <cfRule type="containsText" priority="2" operator="containsText" dxfId="16" text="yes">
      <formula>NOT(ISERROR(SEARCH("yes",C1)))</formula>
    </cfRule>
    <cfRule type="containsText" priority="4" operator="containsText" dxfId="15" text="No">
      <formula>NOT(ISERROR(SEARCH("No",C1)))</formula>
    </cfRule>
  </conditionalFormatting>
  <conditionalFormatting sqref="C34">
    <cfRule type="expression" priority="1" dxfId="14">
      <formula>MOD(ROW(),2)=0</formula>
    </cfRule>
  </conditionalFormatting>
  <dataValidations disablePrompts="1" count="1">
    <dataValidation sqref="F2:F41" showDropDown="0" showInputMessage="0" showErrorMessage="0" allowBlank="0" type="list">
      <formula1>"Yes,No,Awaiting Reply"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2026-04-15T08:29:51Z</dcterms:created>
  <dcterms:modified xmlns:dcterms="http://purl.org/dc/terms/" xmlns:xsi="http://www.w3.org/2001/XMLSchema-instance" xsi:type="dcterms:W3CDTF">2026-05-06T05:52:49Z</dcterms:modified>
  <cp:lastModifiedBy>Anmol Shukla</cp:lastModifiedBy>
  <cp:revision>0</cp:revision>
</cp:coreProperties>
</file>